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8_{01605B36-71E9-48B0-8C2A-ECCB218AB24A}" xr6:coauthVersionLast="47" xr6:coauthVersionMax="47" xr10:uidLastSave="{00000000-0000-0000-0000-000000000000}"/>
  <bookViews>
    <workbookView xWindow="-120" yWindow="-120" windowWidth="20730" windowHeight="11160" xr2:uid="{CA76347B-CFBA-4743-930F-61DFFE11DD59}"/>
  </bookViews>
  <sheets>
    <sheet name="Demand Plan" sheetId="8" r:id="rId1"/>
    <sheet name="Plant Allocation" sheetId="2" r:id="rId2"/>
    <sheet name="Allocation Acceptance" sheetId="3" r:id="rId3"/>
    <sheet name="Production" sheetId="1" r:id="rId4"/>
    <sheet name="Quality" sheetId="4" r:id="rId5"/>
    <sheet name="Dispatch" sheetId="5" r:id="rId6"/>
    <sheet name="Receiv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8" l="1"/>
  <c r="O19" i="4"/>
  <c r="O18" i="4"/>
  <c r="O17" i="4"/>
  <c r="O16" i="4"/>
  <c r="O15" i="4"/>
  <c r="O14" i="4"/>
  <c r="O13" i="4"/>
  <c r="O12" i="4"/>
  <c r="O11" i="4"/>
</calcChain>
</file>

<file path=xl/sharedStrings.xml><?xml version="1.0" encoding="utf-8"?>
<sst xmlns="http://schemas.openxmlformats.org/spreadsheetml/2006/main" count="520" uniqueCount="163">
  <si>
    <t>Production Config</t>
  </si>
  <si>
    <t>id</t>
  </si>
  <si>
    <t>Component Name</t>
  </si>
  <si>
    <t>Plant</t>
  </si>
  <si>
    <t>duration Per Cycle</t>
  </si>
  <si>
    <t>units Per Cycle</t>
  </si>
  <si>
    <t>production Days Per Unit</t>
  </si>
  <si>
    <t>Blade</t>
  </si>
  <si>
    <t>Chennai</t>
  </si>
  <si>
    <t>Tower</t>
  </si>
  <si>
    <t>Bengaluru</t>
  </si>
  <si>
    <t>Nacelle</t>
  </si>
  <si>
    <t>Gujarat</t>
  </si>
  <si>
    <t>Tirichy</t>
  </si>
  <si>
    <t>taskId</t>
  </si>
  <si>
    <t>serial</t>
  </si>
  <si>
    <t>stage</t>
  </si>
  <si>
    <t>project</t>
  </si>
  <si>
    <t>assignedOn</t>
  </si>
  <si>
    <t>plannedStart</t>
  </si>
  <si>
    <t>plannedFinish</t>
  </si>
  <si>
    <t>actualStart</t>
  </si>
  <si>
    <t>actualFinish</t>
  </si>
  <si>
    <t>status</t>
  </si>
  <si>
    <t>B-001</t>
  </si>
  <si>
    <t>PRODUCTION</t>
  </si>
  <si>
    <t>P8002</t>
  </si>
  <si>
    <t>DONE</t>
  </si>
  <si>
    <t>B-002</t>
  </si>
  <si>
    <t>B-003</t>
  </si>
  <si>
    <t>B-004</t>
  </si>
  <si>
    <t>B-005</t>
  </si>
  <si>
    <t>B-006</t>
  </si>
  <si>
    <t>IN_PROGRESS</t>
  </si>
  <si>
    <t>B-007</t>
  </si>
  <si>
    <t>B-008</t>
  </si>
  <si>
    <t>B-009</t>
  </si>
  <si>
    <t>PLANNED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</si>
  <si>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</si>
  <si>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</si>
  <si>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</si>
  <si>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</si>
  <si>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</si>
  <si>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</si>
  <si>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</si>
  <si>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</si>
  <si>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T-001</t>
  </si>
  <si>
    <t>T-002</t>
  </si>
  <si>
    <t>T-003</t>
  </si>
  <si>
    <t>T-004</t>
  </si>
  <si>
    <t>T-005</t>
  </si>
  <si>
    <t>N-001</t>
  </si>
  <si>
    <t>N-002</t>
  </si>
  <si>
    <t>finalQc</t>
  </si>
  <si>
    <t>Production Details</t>
  </si>
  <si>
    <t>Component Plant Allocation</t>
  </si>
  <si>
    <t xml:space="preserve"> </t>
  </si>
  <si>
    <t>Add Allocation Row</t>
  </si>
  <si>
    <t>Tuticorin</t>
  </si>
  <si>
    <t>Pune</t>
  </si>
  <si>
    <t>Allocation Summary</t>
  </si>
  <si>
    <t>Component</t>
  </si>
  <si>
    <t>Plant Manager</t>
  </si>
  <si>
    <t>Allocated Qty</t>
  </si>
  <si>
    <t>Manager 1</t>
  </si>
  <si>
    <t>Manager 2</t>
  </si>
  <si>
    <t>Manager 3</t>
  </si>
  <si>
    <t>Grand Total</t>
  </si>
  <si>
    <t>Allocation Approval</t>
  </si>
  <si>
    <t>SI.No</t>
  </si>
  <si>
    <t>Allocation Initiated By</t>
  </si>
  <si>
    <t>Initiated On</t>
  </si>
  <si>
    <t>Plan Month</t>
  </si>
  <si>
    <t>Plant Name</t>
  </si>
  <si>
    <t>Status</t>
  </si>
  <si>
    <t>Reviewed By</t>
  </si>
  <si>
    <t>Reviewed On</t>
  </si>
  <si>
    <t>Approved By</t>
  </si>
  <si>
    <t>Approved On</t>
  </si>
  <si>
    <t>Action</t>
  </si>
  <si>
    <t>Varun</t>
  </si>
  <si>
    <t>Mohan</t>
  </si>
  <si>
    <t>COMPLETED</t>
  </si>
  <si>
    <t>…</t>
  </si>
  <si>
    <t>Ajith Kumar</t>
  </si>
  <si>
    <t>In_PROGRESS</t>
  </si>
  <si>
    <t>REVIEWED</t>
  </si>
  <si>
    <t>Anand</t>
  </si>
  <si>
    <t>Balaji</t>
  </si>
  <si>
    <t>CREATED</t>
  </si>
  <si>
    <t>Review</t>
  </si>
  <si>
    <t>Actions</t>
  </si>
  <si>
    <t>Condition</t>
  </si>
  <si>
    <t>View Allocated Components</t>
  </si>
  <si>
    <t>After REVIEWED Status</t>
  </si>
  <si>
    <t>Accept</t>
  </si>
  <si>
    <t>When Only In REVIEWED Status</t>
  </si>
  <si>
    <t>Reject</t>
  </si>
  <si>
    <t>ComponentName</t>
  </si>
  <si>
    <t>inspectionLagDays</t>
  </si>
  <si>
    <t>mdccLagDays</t>
  </si>
  <si>
    <t>Quality Config (Should be Customer wise)</t>
  </si>
  <si>
    <t>QUALITY</t>
  </si>
  <si>
    <t>null</t>
  </si>
  <si>
    <t>Dispatch Config</t>
  </si>
  <si>
    <t>C-Name</t>
  </si>
  <si>
    <t>plant</t>
  </si>
  <si>
    <t>count</t>
  </si>
  <si>
    <t>deliveryDuration</t>
  </si>
  <si>
    <t>unloadDuration</t>
  </si>
  <si>
    <t>DISPATCH</t>
  </si>
  <si>
    <t>frameNo</t>
  </si>
  <si>
    <t>rootFrameNo</t>
  </si>
  <si>
    <t>tipFrameNo</t>
  </si>
  <si>
    <t>transporter</t>
  </si>
  <si>
    <t>invoiceNumber</t>
  </si>
  <si>
    <t>invoiceDate</t>
  </si>
  <si>
    <t>vehicleNo</t>
  </si>
  <si>
    <t>lrNumber</t>
  </si>
  <si>
    <t>lrDate</t>
  </si>
  <si>
    <t>dcNo</t>
  </si>
  <si>
    <t>dcDate</t>
  </si>
  <si>
    <t>vehicleInDate</t>
  </si>
  <si>
    <t>deliveryPlanFinish</t>
  </si>
  <si>
    <t>deliveryActualFinish</t>
  </si>
  <si>
    <t>deliveryDelayReason</t>
  </si>
  <si>
    <t>Dispatch Details</t>
  </si>
  <si>
    <t>Quality Details</t>
  </si>
  <si>
    <t>inspectionCallPlan</t>
  </si>
  <si>
    <t>customerInspetionActual</t>
  </si>
  <si>
    <t>customerInProgressInspection</t>
  </si>
  <si>
    <t>mdccPlan</t>
  </si>
  <si>
    <t>mdccActual</t>
  </si>
  <si>
    <t>As Per the flow Diagram (PMT_Flow_v4)</t>
  </si>
  <si>
    <t>Yearly Demand Plan</t>
  </si>
  <si>
    <t>Add more projects</t>
  </si>
  <si>
    <t>ReNew</t>
  </si>
  <si>
    <t>P-1719</t>
  </si>
  <si>
    <t>SPV 1</t>
  </si>
  <si>
    <t>Wtg Type</t>
  </si>
  <si>
    <t>Capacity</t>
  </si>
  <si>
    <t>Tower Type</t>
  </si>
  <si>
    <t>Blade Type</t>
  </si>
  <si>
    <t>Qty</t>
  </si>
  <si>
    <t>EN182</t>
  </si>
  <si>
    <t>140HH-474T</t>
  </si>
  <si>
    <t>Big</t>
  </si>
  <si>
    <t>EN156</t>
  </si>
  <si>
    <t>120HH-304T</t>
  </si>
  <si>
    <t>Small</t>
  </si>
  <si>
    <t>Total Qty</t>
  </si>
  <si>
    <t>Auto Fetch From Project</t>
  </si>
  <si>
    <t>Manual feed till achieved the Qty</t>
  </si>
  <si>
    <t>SPV 2</t>
  </si>
  <si>
    <t>P-1854</t>
  </si>
  <si>
    <t>SPV 10</t>
  </si>
  <si>
    <t>EN132</t>
  </si>
  <si>
    <t>View Plan Summary</t>
  </si>
  <si>
    <t>Customer Name</t>
  </si>
  <si>
    <t>Project</t>
  </si>
  <si>
    <t>Spv</t>
  </si>
  <si>
    <t>WtgType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</si>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</sst>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0" xfId="0" applyFont="1"/>
    <xf numFmtId="16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0" xfId="0" applyAlignment="1">
      <alignment horizontal="right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4" borderId="0" xfId="0" applyFill="1"/>
    <xf numFmtId="0" fontId="0" fillId="0" borderId="20" xfId="0" applyBorder="1"/>
    <xf numFmtId="0" fontId="0" fillId="0" borderId="6" xfId="0" applyBorder="1"/>
    <xf numFmtId="0" fontId="0" fillId="0" borderId="21" xfId="0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0" fillId="0" borderId="25" xfId="0" applyBorder="1"/>
    <xf numFmtId="0" fontId="0" fillId="0" borderId="26" xfId="0" applyBorder="1"/>
    <xf numFmtId="14" fontId="0" fillId="0" borderId="26" xfId="0" applyNumberFormat="1" applyBorder="1"/>
    <xf numFmtId="17" fontId="0" fillId="0" borderId="26" xfId="0" applyNumberFormat="1" applyBorder="1"/>
    <xf numFmtId="0" fontId="2" fillId="0" borderId="27" xfId="0" applyFont="1" applyBorder="1" applyAlignment="1">
      <alignment horizontal="center" vertical="center"/>
    </xf>
    <xf numFmtId="0" fontId="0" fillId="0" borderId="28" xfId="0" applyBorder="1"/>
    <xf numFmtId="14" fontId="0" fillId="0" borderId="4" xfId="0" applyNumberFormat="1" applyBorder="1"/>
    <xf numFmtId="17" fontId="0" fillId="0" borderId="4" xfId="0" applyNumberFormat="1" applyBorder="1"/>
    <xf numFmtId="0" fontId="2" fillId="0" borderId="29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14" fontId="0" fillId="0" borderId="31" xfId="0" applyNumberFormat="1" applyBorder="1"/>
    <xf numFmtId="17" fontId="0" fillId="0" borderId="31" xfId="0" applyNumberFormat="1" applyBorder="1"/>
    <xf numFmtId="0" fontId="2" fillId="5" borderId="3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3" borderId="33" xfId="0" applyFont="1" applyFill="1" applyBorder="1"/>
    <xf numFmtId="0" fontId="1" fillId="3" borderId="34" xfId="0" applyFont="1" applyFill="1" applyBorder="1"/>
    <xf numFmtId="0" fontId="1" fillId="3" borderId="35" xfId="0" applyFont="1" applyFill="1" applyBorder="1"/>
    <xf numFmtId="0" fontId="5" fillId="6" borderId="0" xfId="0" applyFont="1" applyFill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2" fillId="0" borderId="10" xfId="0" applyFont="1" applyBorder="1"/>
    <xf numFmtId="17" fontId="2" fillId="0" borderId="4" xfId="0" applyNumberFormat="1" applyFont="1" applyBorder="1"/>
    <xf numFmtId="17" fontId="2" fillId="0" borderId="29" xfId="0" applyNumberFormat="1" applyFont="1" applyBorder="1"/>
    <xf numFmtId="0" fontId="2" fillId="7" borderId="4" xfId="0" applyFont="1" applyFill="1" applyBorder="1"/>
    <xf numFmtId="0" fontId="0" fillId="0" borderId="29" xfId="0" applyBorder="1"/>
    <xf numFmtId="0" fontId="2" fillId="7" borderId="4" xfId="0" applyFont="1" applyFill="1" applyBorder="1" applyAlignment="1">
      <alignment horizontal="right"/>
    </xf>
    <xf numFmtId="0" fontId="2" fillId="7" borderId="38" xfId="0" applyFont="1" applyFill="1" applyBorder="1"/>
    <xf numFmtId="0" fontId="2" fillId="8" borderId="4" xfId="0" applyFont="1" applyFill="1" applyBorder="1"/>
    <xf numFmtId="0" fontId="2" fillId="8" borderId="29" xfId="0" applyFont="1" applyFill="1" applyBorder="1"/>
    <xf numFmtId="0" fontId="0" fillId="0" borderId="39" xfId="0" applyBorder="1"/>
    <xf numFmtId="0" fontId="2" fillId="7" borderId="4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2" fillId="9" borderId="28" xfId="0" applyFont="1" applyFill="1" applyBorder="1"/>
    <xf numFmtId="0" fontId="2" fillId="9" borderId="4" xfId="0" applyFont="1" applyFill="1" applyBorder="1"/>
    <xf numFmtId="17" fontId="2" fillId="9" borderId="4" xfId="0" applyNumberFormat="1" applyFont="1" applyFill="1" applyBorder="1"/>
    <xf numFmtId="17" fontId="2" fillId="9" borderId="29" xfId="0" applyNumberFormat="1" applyFont="1" applyFill="1" applyBorder="1"/>
    <xf numFmtId="0" fontId="2" fillId="10" borderId="40" xfId="0" applyFont="1" applyFill="1" applyBorder="1" applyAlignment="1">
      <alignment horizontal="right" vertical="center"/>
    </xf>
    <xf numFmtId="0" fontId="2" fillId="10" borderId="41" xfId="0" applyFont="1" applyFill="1" applyBorder="1" applyAlignment="1">
      <alignment horizontal="right" vertical="center"/>
    </xf>
    <xf numFmtId="0" fontId="2" fillId="10" borderId="38" xfId="0" applyFont="1" applyFill="1" applyBorder="1" applyAlignment="1">
      <alignment horizontal="right" vertical="center"/>
    </xf>
    <xf numFmtId="0" fontId="2" fillId="10" borderId="4" xfId="0" applyFont="1" applyFill="1" applyBorder="1"/>
    <xf numFmtId="0" fontId="2" fillId="10" borderId="29" xfId="0" applyFont="1" applyFill="1" applyBorder="1"/>
  </cellXfs>
  <cellStyles count="1">
    <cellStyle name="Normal" xfId="0" builtinId="0"/>
  </cellStyles>
  <dxfs count="32">
    <dxf>
      <numFmt numFmtId="21" formatCode="dd/mmm"/>
    </dxf>
    <dxf>
      <numFmt numFmtId="21" formatCode="dd/mmm"/>
    </dxf>
    <dxf>
      <font>
        <color rgb="FF9C0006"/>
      </font>
      <fill>
        <patternFill>
          <bgColor rgb="FFFFC7CE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d/mmm"/>
    </dxf>
    <dxf>
      <numFmt numFmtId="21" formatCode="dd/mmm"/>
    </dxf>
    <dxf>
      <numFmt numFmtId="21" formatCode="dd/mmm"/>
    </dxf>
    <dxf>
      <numFmt numFmtId="21" formatCode="dd/mmm"/>
    </dxf>
    <dxf>
      <numFmt numFmtId="21" formatCode="dd/mmm"/>
    </dxf>
    <dxf>
      <numFmt numFmtId="21" formatCode="dd/mmm"/>
    </dxf>
    <dxf>
      <numFmt numFmtId="21" formatCode="dd/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d/mmm"/>
    </dxf>
    <dxf>
      <numFmt numFmtId="21" formatCode="dd/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19050</xdr:rowOff>
    </xdr:from>
    <xdr:to>
      <xdr:col>3</xdr:col>
      <xdr:colOff>447675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1B4681-BEC0-4FD1-9862-A5C9325F1355}"/>
            </a:ext>
          </a:extLst>
        </xdr:cNvPr>
        <xdr:cNvSpPr/>
      </xdr:nvSpPr>
      <xdr:spPr>
        <a:xfrm>
          <a:off x="1533525" y="676275"/>
          <a:ext cx="1057275" cy="533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Year</a:t>
          </a:r>
          <a:endParaRPr lang="en-US" sz="1100"/>
        </a:p>
      </xdr:txBody>
    </xdr:sp>
    <xdr:clientData/>
  </xdr:twoCellAnchor>
  <xdr:twoCellAnchor>
    <xdr:from>
      <xdr:col>4</xdr:col>
      <xdr:colOff>342900</xdr:colOff>
      <xdr:row>3</xdr:row>
      <xdr:rowOff>19050</xdr:rowOff>
    </xdr:from>
    <xdr:to>
      <xdr:col>6</xdr:col>
      <xdr:colOff>228600</xdr:colOff>
      <xdr:row>5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A7B2FF-1B3B-41D9-BBAC-7221C3972802}"/>
            </a:ext>
          </a:extLst>
        </xdr:cNvPr>
        <xdr:cNvSpPr/>
      </xdr:nvSpPr>
      <xdr:spPr>
        <a:xfrm>
          <a:off x="3086100" y="676275"/>
          <a:ext cx="1390650" cy="533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Customer</a:t>
          </a:r>
          <a:endParaRPr lang="en-US" sz="1100"/>
        </a:p>
      </xdr:txBody>
    </xdr:sp>
    <xdr:clientData/>
  </xdr:twoCellAnchor>
  <xdr:twoCellAnchor editAs="oneCell">
    <xdr:from>
      <xdr:col>5</xdr:col>
      <xdr:colOff>647700</xdr:colOff>
      <xdr:row>4</xdr:row>
      <xdr:rowOff>19050</xdr:rowOff>
    </xdr:from>
    <xdr:to>
      <xdr:col>6</xdr:col>
      <xdr:colOff>133350</xdr:colOff>
      <xdr:row>5</xdr:row>
      <xdr:rowOff>9525</xdr:rowOff>
    </xdr:to>
    <xdr:pic>
      <xdr:nvPicPr>
        <xdr:cNvPr id="4" name="Graphic 3" descr="Arrow: Rotate left with solid fill">
          <a:extLst>
            <a:ext uri="{FF2B5EF4-FFF2-40B4-BE49-F238E27FC236}">
              <a16:creationId xmlns:a16="http://schemas.microsoft.com/office/drawing/2014/main" id="{F0D17158-DEA7-42A1-8AE9-734FC1871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43375" y="866775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4</xdr:row>
      <xdr:rowOff>9525</xdr:rowOff>
    </xdr:from>
    <xdr:to>
      <xdr:col>3</xdr:col>
      <xdr:colOff>409575</xdr:colOff>
      <xdr:row>5</xdr:row>
      <xdr:rowOff>0</xdr:rowOff>
    </xdr:to>
    <xdr:pic>
      <xdr:nvPicPr>
        <xdr:cNvPr id="5" name="Graphic 4" descr="Arrow: Rotate left with solid fill">
          <a:extLst>
            <a:ext uri="{FF2B5EF4-FFF2-40B4-BE49-F238E27FC236}">
              <a16:creationId xmlns:a16="http://schemas.microsoft.com/office/drawing/2014/main" id="{1765C594-9E5B-41CE-8D9C-19F9C1E7B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14575" y="857250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180975</xdr:colOff>
          <xdr:row>8</xdr:row>
          <xdr:rowOff>180975</xdr:rowOff>
        </xdr:from>
        <xdr:to>
          <xdr:col>8</xdr:col>
          <xdr:colOff>438150</xdr:colOff>
          <xdr:row>10</xdr:row>
          <xdr:rowOff>114300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23F6298C-9242-4622-ACA1-184A42665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Plan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9525</xdr:colOff>
      <xdr:row>8</xdr:row>
      <xdr:rowOff>180975</xdr:rowOff>
    </xdr:from>
    <xdr:to>
      <xdr:col>4</xdr:col>
      <xdr:colOff>104775</xdr:colOff>
      <xdr:row>10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A035E80-BA71-429B-8EA5-C011F0A1549A}"/>
            </a:ext>
          </a:extLst>
        </xdr:cNvPr>
        <xdr:cNvSpPr/>
      </xdr:nvSpPr>
      <xdr:spPr>
        <a:xfrm>
          <a:off x="1524000" y="1790700"/>
          <a:ext cx="1323975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Project</a:t>
          </a:r>
          <a:endParaRPr lang="en-US" sz="1100"/>
        </a:p>
      </xdr:txBody>
    </xdr:sp>
    <xdr:clientData/>
  </xdr:twoCellAnchor>
  <xdr:twoCellAnchor editAs="oneCell">
    <xdr:from>
      <xdr:col>3</xdr:col>
      <xdr:colOff>323850</xdr:colOff>
      <xdr:row>9</xdr:row>
      <xdr:rowOff>66675</xdr:rowOff>
    </xdr:from>
    <xdr:to>
      <xdr:col>3</xdr:col>
      <xdr:colOff>561975</xdr:colOff>
      <xdr:row>10</xdr:row>
      <xdr:rowOff>57150</xdr:rowOff>
    </xdr:to>
    <xdr:pic>
      <xdr:nvPicPr>
        <xdr:cNvPr id="7" name="Graphic 6" descr="Arrow: Rotate left with solid fill">
          <a:extLst>
            <a:ext uri="{FF2B5EF4-FFF2-40B4-BE49-F238E27FC236}">
              <a16:creationId xmlns:a16="http://schemas.microsoft.com/office/drawing/2014/main" id="{9AFC1410-A599-4591-BE9E-0868776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6975" y="1866900"/>
          <a:ext cx="238125" cy="180975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8</xdr:row>
      <xdr:rowOff>180975</xdr:rowOff>
    </xdr:from>
    <xdr:to>
      <xdr:col>5</xdr:col>
      <xdr:colOff>619125</xdr:colOff>
      <xdr:row>10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AA09B43-BD92-452D-9F8A-B52EA91171E6}"/>
            </a:ext>
          </a:extLst>
        </xdr:cNvPr>
        <xdr:cNvSpPr/>
      </xdr:nvSpPr>
      <xdr:spPr>
        <a:xfrm>
          <a:off x="3038475" y="1790700"/>
          <a:ext cx="1076325" cy="3333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 SPV</a:t>
          </a:r>
        </a:p>
      </xdr:txBody>
    </xdr:sp>
    <xdr:clientData/>
  </xdr:twoCellAnchor>
  <xdr:twoCellAnchor editAs="oneCell">
    <xdr:from>
      <xdr:col>5</xdr:col>
      <xdr:colOff>285750</xdr:colOff>
      <xdr:row>9</xdr:row>
      <xdr:rowOff>95250</xdr:rowOff>
    </xdr:from>
    <xdr:to>
      <xdr:col>5</xdr:col>
      <xdr:colOff>523875</xdr:colOff>
      <xdr:row>10</xdr:row>
      <xdr:rowOff>85725</xdr:rowOff>
    </xdr:to>
    <xdr:pic>
      <xdr:nvPicPr>
        <xdr:cNvPr id="9" name="Graphic 8" descr="Arrow: Rotate left with solid fill">
          <a:extLst>
            <a:ext uri="{FF2B5EF4-FFF2-40B4-BE49-F238E27FC236}">
              <a16:creationId xmlns:a16="http://schemas.microsoft.com/office/drawing/2014/main" id="{7A82EBAD-06C7-4CAD-A003-965C70EC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1425" y="1895475"/>
          <a:ext cx="238125" cy="180975"/>
        </a:xfrm>
        <a:prstGeom prst="rect">
          <a:avLst/>
        </a:prstGeom>
      </xdr:spPr>
    </xdr:pic>
    <xdr:clientData/>
  </xdr:twoCellAnchor>
  <xdr:twoCellAnchor>
    <xdr:from>
      <xdr:col>7</xdr:col>
      <xdr:colOff>200025</xdr:colOff>
      <xdr:row>3</xdr:row>
      <xdr:rowOff>123825</xdr:rowOff>
    </xdr:from>
    <xdr:to>
      <xdr:col>7</xdr:col>
      <xdr:colOff>595593</xdr:colOff>
      <xdr:row>5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8BD53E8-8143-4E75-9E90-042AF23A91E6}"/>
            </a:ext>
          </a:extLst>
        </xdr:cNvPr>
        <xdr:cNvSpPr/>
      </xdr:nvSpPr>
      <xdr:spPr>
        <a:xfrm>
          <a:off x="5162550" y="781050"/>
          <a:ext cx="233643" cy="3143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238124</xdr:colOff>
      <xdr:row>3</xdr:row>
      <xdr:rowOff>161925</xdr:rowOff>
    </xdr:from>
    <xdr:to>
      <xdr:col>7</xdr:col>
      <xdr:colOff>390524</xdr:colOff>
      <xdr:row>5</xdr:row>
      <xdr:rowOff>9525</xdr:rowOff>
    </xdr:to>
    <xdr:sp macro="" textlink="">
      <xdr:nvSpPr>
        <xdr:cNvPr id="11" name="Plus Sign 10">
          <a:extLst>
            <a:ext uri="{FF2B5EF4-FFF2-40B4-BE49-F238E27FC236}">
              <a16:creationId xmlns:a16="http://schemas.microsoft.com/office/drawing/2014/main" id="{CB0EEE58-D367-4B72-997C-1BBE7C93F333}"/>
            </a:ext>
          </a:extLst>
        </xdr:cNvPr>
        <xdr:cNvSpPr/>
      </xdr:nvSpPr>
      <xdr:spPr>
        <a:xfrm>
          <a:off x="5200649" y="819150"/>
          <a:ext cx="152400" cy="228600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180975</xdr:colOff>
          <xdr:row>19</xdr:row>
          <xdr:rowOff>180975</xdr:rowOff>
        </xdr:from>
        <xdr:to>
          <xdr:col>8</xdr:col>
          <xdr:colOff>438150</xdr:colOff>
          <xdr:row>21</xdr:row>
          <xdr:rowOff>114300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AEA1E488-9E6B-4944-B67D-2BCCB5030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Plan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9525</xdr:colOff>
      <xdr:row>19</xdr:row>
      <xdr:rowOff>180975</xdr:rowOff>
    </xdr:from>
    <xdr:to>
      <xdr:col>4</xdr:col>
      <xdr:colOff>104775</xdr:colOff>
      <xdr:row>21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5FA11FB-C8C4-40A9-BAAE-42B3BD8A5745}"/>
            </a:ext>
          </a:extLst>
        </xdr:cNvPr>
        <xdr:cNvSpPr/>
      </xdr:nvSpPr>
      <xdr:spPr>
        <a:xfrm>
          <a:off x="1524000" y="3886200"/>
          <a:ext cx="1323975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Project</a:t>
          </a:r>
          <a:endParaRPr lang="en-US" sz="1100"/>
        </a:p>
      </xdr:txBody>
    </xdr:sp>
    <xdr:clientData/>
  </xdr:twoCellAnchor>
  <xdr:oneCellAnchor>
    <xdr:from>
      <xdr:col>3</xdr:col>
      <xdr:colOff>323850</xdr:colOff>
      <xdr:row>20</xdr:row>
      <xdr:rowOff>66675</xdr:rowOff>
    </xdr:from>
    <xdr:ext cx="238125" cy="180975"/>
    <xdr:pic>
      <xdr:nvPicPr>
        <xdr:cNvPr id="13" name="Graphic 12" descr="Arrow: Rotate left with solid fill">
          <a:extLst>
            <a:ext uri="{FF2B5EF4-FFF2-40B4-BE49-F238E27FC236}">
              <a16:creationId xmlns:a16="http://schemas.microsoft.com/office/drawing/2014/main" id="{87EFD829-4F94-45A4-B751-ADC49B3CC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6975" y="3962400"/>
          <a:ext cx="238125" cy="180975"/>
        </a:xfrm>
        <a:prstGeom prst="rect">
          <a:avLst/>
        </a:prstGeom>
      </xdr:spPr>
    </xdr:pic>
    <xdr:clientData/>
  </xdr:oneCellAnchor>
  <xdr:twoCellAnchor>
    <xdr:from>
      <xdr:col>4</xdr:col>
      <xdr:colOff>295275</xdr:colOff>
      <xdr:row>19</xdr:row>
      <xdr:rowOff>180975</xdr:rowOff>
    </xdr:from>
    <xdr:to>
      <xdr:col>5</xdr:col>
      <xdr:colOff>619125</xdr:colOff>
      <xdr:row>21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40C9E56-C27B-41AB-82E5-3475664A8B16}"/>
            </a:ext>
          </a:extLst>
        </xdr:cNvPr>
        <xdr:cNvSpPr/>
      </xdr:nvSpPr>
      <xdr:spPr>
        <a:xfrm>
          <a:off x="3038475" y="3886200"/>
          <a:ext cx="1076325" cy="3333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 SPV</a:t>
          </a:r>
        </a:p>
      </xdr:txBody>
    </xdr:sp>
    <xdr:clientData/>
  </xdr:twoCellAnchor>
  <xdr:oneCellAnchor>
    <xdr:from>
      <xdr:col>5</xdr:col>
      <xdr:colOff>285750</xdr:colOff>
      <xdr:row>20</xdr:row>
      <xdr:rowOff>95250</xdr:rowOff>
    </xdr:from>
    <xdr:ext cx="238125" cy="180975"/>
    <xdr:pic>
      <xdr:nvPicPr>
        <xdr:cNvPr id="15" name="Graphic 14" descr="Arrow: Rotate left with solid fill">
          <a:extLst>
            <a:ext uri="{FF2B5EF4-FFF2-40B4-BE49-F238E27FC236}">
              <a16:creationId xmlns:a16="http://schemas.microsoft.com/office/drawing/2014/main" id="{46B4B169-3D3A-4851-B92F-C275D9448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1425" y="3990975"/>
          <a:ext cx="238125" cy="18097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180975</xdr:colOff>
          <xdr:row>30</xdr:row>
          <xdr:rowOff>180975</xdr:rowOff>
        </xdr:from>
        <xdr:to>
          <xdr:col>8</xdr:col>
          <xdr:colOff>438150</xdr:colOff>
          <xdr:row>32</xdr:row>
          <xdr:rowOff>114300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90FDFA58-AC80-4006-9DBD-9B36F4C87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Plan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9525</xdr:colOff>
      <xdr:row>30</xdr:row>
      <xdr:rowOff>180975</xdr:rowOff>
    </xdr:from>
    <xdr:to>
      <xdr:col>4</xdr:col>
      <xdr:colOff>104775</xdr:colOff>
      <xdr:row>32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68D62BA-C399-4195-B1E6-7A26BF881F95}"/>
            </a:ext>
          </a:extLst>
        </xdr:cNvPr>
        <xdr:cNvSpPr/>
      </xdr:nvSpPr>
      <xdr:spPr>
        <a:xfrm>
          <a:off x="1524000" y="5981700"/>
          <a:ext cx="1323975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Project</a:t>
          </a:r>
          <a:endParaRPr lang="en-US" sz="1100"/>
        </a:p>
      </xdr:txBody>
    </xdr:sp>
    <xdr:clientData/>
  </xdr:twoCellAnchor>
  <xdr:oneCellAnchor>
    <xdr:from>
      <xdr:col>3</xdr:col>
      <xdr:colOff>323850</xdr:colOff>
      <xdr:row>31</xdr:row>
      <xdr:rowOff>66675</xdr:rowOff>
    </xdr:from>
    <xdr:ext cx="238125" cy="180975"/>
    <xdr:pic>
      <xdr:nvPicPr>
        <xdr:cNvPr id="17" name="Graphic 16" descr="Arrow: Rotate left with solid fill">
          <a:extLst>
            <a:ext uri="{FF2B5EF4-FFF2-40B4-BE49-F238E27FC236}">
              <a16:creationId xmlns:a16="http://schemas.microsoft.com/office/drawing/2014/main" id="{E98088E9-F3F8-4D76-91EF-0A13A5F3C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6975" y="6057900"/>
          <a:ext cx="238125" cy="180975"/>
        </a:xfrm>
        <a:prstGeom prst="rect">
          <a:avLst/>
        </a:prstGeom>
      </xdr:spPr>
    </xdr:pic>
    <xdr:clientData/>
  </xdr:oneCellAnchor>
  <xdr:twoCellAnchor>
    <xdr:from>
      <xdr:col>4</xdr:col>
      <xdr:colOff>295275</xdr:colOff>
      <xdr:row>30</xdr:row>
      <xdr:rowOff>180975</xdr:rowOff>
    </xdr:from>
    <xdr:to>
      <xdr:col>5</xdr:col>
      <xdr:colOff>619125</xdr:colOff>
      <xdr:row>32</xdr:row>
      <xdr:rowOff>133350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C8F8C1E-E5CF-4F96-8C34-1D7DBC18D28F}"/>
            </a:ext>
          </a:extLst>
        </xdr:cNvPr>
        <xdr:cNvSpPr/>
      </xdr:nvSpPr>
      <xdr:spPr>
        <a:xfrm>
          <a:off x="3038475" y="5981700"/>
          <a:ext cx="1076325" cy="3333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 SPV</a:t>
          </a:r>
        </a:p>
      </xdr:txBody>
    </xdr:sp>
    <xdr:clientData/>
  </xdr:twoCellAnchor>
  <xdr:oneCellAnchor>
    <xdr:from>
      <xdr:col>5</xdr:col>
      <xdr:colOff>285750</xdr:colOff>
      <xdr:row>31</xdr:row>
      <xdr:rowOff>95250</xdr:rowOff>
    </xdr:from>
    <xdr:ext cx="238125" cy="180975"/>
    <xdr:pic>
      <xdr:nvPicPr>
        <xdr:cNvPr id="19" name="Graphic 18" descr="Arrow: Rotate left with solid fill">
          <a:extLst>
            <a:ext uri="{FF2B5EF4-FFF2-40B4-BE49-F238E27FC236}">
              <a16:creationId xmlns:a16="http://schemas.microsoft.com/office/drawing/2014/main" id="{9438E046-4F68-4697-A6E4-D1042438B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1425" y="6086475"/>
          <a:ext cx="238125" cy="18097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219075</xdr:colOff>
          <xdr:row>42</xdr:row>
          <xdr:rowOff>47625</xdr:rowOff>
        </xdr:from>
        <xdr:to>
          <xdr:col>18</xdr:col>
          <xdr:colOff>371475</xdr:colOff>
          <xdr:row>43</xdr:row>
          <xdr:rowOff>171450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D9196225-DD60-41A9-B51A-BC873D2AD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View 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171450</xdr:colOff>
          <xdr:row>58</xdr:row>
          <xdr:rowOff>19050</xdr:rowOff>
        </xdr:from>
        <xdr:to>
          <xdr:col>19</xdr:col>
          <xdr:colOff>409575</xdr:colOff>
          <xdr:row>59</xdr:row>
          <xdr:rowOff>142875</xdr:rowOff>
        </xdr:to>
        <xdr:sp macro="" textlink="">
          <xdr:nvSpPr>
            <xdr:cNvPr id="6149" name="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776DEFC3-A95A-4887-A84F-36D9D7CF6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9525</xdr:rowOff>
    </xdr:from>
    <xdr:to>
      <xdr:col>5</xdr:col>
      <xdr:colOff>600075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240C3F-87B5-4E92-A1F3-FC56F20A8DFE}"/>
            </a:ext>
          </a:extLst>
        </xdr:cNvPr>
        <xdr:cNvSpPr/>
      </xdr:nvSpPr>
      <xdr:spPr>
        <a:xfrm>
          <a:off x="2476500" y="971550"/>
          <a:ext cx="135255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Blade</a:t>
          </a:r>
        </a:p>
      </xdr:txBody>
    </xdr:sp>
    <xdr:clientData/>
  </xdr:twoCellAnchor>
  <xdr:twoCellAnchor>
    <xdr:from>
      <xdr:col>6</xdr:col>
      <xdr:colOff>104775</xdr:colOff>
      <xdr:row>5</xdr:row>
      <xdr:rowOff>9525</xdr:rowOff>
    </xdr:from>
    <xdr:to>
      <xdr:col>8</xdr:col>
      <xdr:colOff>85725</xdr:colOff>
      <xdr:row>6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E6A8E2-130A-44B8-AACB-0D2983A3737E}"/>
            </a:ext>
          </a:extLst>
        </xdr:cNvPr>
        <xdr:cNvSpPr/>
      </xdr:nvSpPr>
      <xdr:spPr>
        <a:xfrm>
          <a:off x="4095750" y="971550"/>
          <a:ext cx="1457325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Selected</a:t>
          </a:r>
          <a:r>
            <a:rPr lang="en-US" sz="1100" baseline="0"/>
            <a:t> Qty: 30</a:t>
          </a:r>
          <a:endParaRPr lang="en-US" sz="1100"/>
        </a:p>
      </xdr:txBody>
    </xdr:sp>
    <xdr:clientData/>
  </xdr:twoCellAnchor>
  <xdr:twoCellAnchor>
    <xdr:from>
      <xdr:col>8</xdr:col>
      <xdr:colOff>314325</xdr:colOff>
      <xdr:row>5</xdr:row>
      <xdr:rowOff>38101</xdr:rowOff>
    </xdr:from>
    <xdr:to>
      <xdr:col>8</xdr:col>
      <xdr:colOff>509868</xdr:colOff>
      <xdr:row>6</xdr:row>
      <xdr:rowOff>114301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F92AAA1-B7D0-4FAF-BEF6-E68EFDDA9302}"/>
            </a:ext>
          </a:extLst>
        </xdr:cNvPr>
        <xdr:cNvSpPr/>
      </xdr:nvSpPr>
      <xdr:spPr>
        <a:xfrm>
          <a:off x="5781675" y="1000126"/>
          <a:ext cx="195543" cy="266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361950</xdr:colOff>
      <xdr:row>5</xdr:row>
      <xdr:rowOff>76200</xdr:rowOff>
    </xdr:from>
    <xdr:to>
      <xdr:col>8</xdr:col>
      <xdr:colOff>466724</xdr:colOff>
      <xdr:row>6</xdr:row>
      <xdr:rowOff>66675</xdr:rowOff>
    </xdr:to>
    <xdr:sp macro="" textlink="">
      <xdr:nvSpPr>
        <xdr:cNvPr id="5" name="Plus Sign 4">
          <a:extLst>
            <a:ext uri="{FF2B5EF4-FFF2-40B4-BE49-F238E27FC236}">
              <a16:creationId xmlns:a16="http://schemas.microsoft.com/office/drawing/2014/main" id="{F39ADA86-1598-4334-99AF-440403C00D88}"/>
            </a:ext>
          </a:extLst>
        </xdr:cNvPr>
        <xdr:cNvSpPr/>
      </xdr:nvSpPr>
      <xdr:spPr>
        <a:xfrm>
          <a:off x="5829300" y="1038225"/>
          <a:ext cx="104774" cy="180975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 b="1"/>
        </a:p>
      </xdr:txBody>
    </xdr:sp>
    <xdr:clientData/>
  </xdr:twoCellAnchor>
  <xdr:twoCellAnchor>
    <xdr:from>
      <xdr:col>5</xdr:col>
      <xdr:colOff>314325</xdr:colOff>
      <xdr:row>8</xdr:row>
      <xdr:rowOff>9525</xdr:rowOff>
    </xdr:from>
    <xdr:to>
      <xdr:col>7</xdr:col>
      <xdr:colOff>295275</xdr:colOff>
      <xdr:row>9</xdr:row>
      <xdr:rowOff>180975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26422A9-C388-48AC-8AAF-C0500C64CDEE}"/>
            </a:ext>
          </a:extLst>
        </xdr:cNvPr>
        <xdr:cNvSpPr/>
      </xdr:nvSpPr>
      <xdr:spPr>
        <a:xfrm>
          <a:off x="3543300" y="1543050"/>
          <a:ext cx="129540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Qty</a:t>
          </a:r>
          <a:r>
            <a:rPr lang="en-US" sz="1100" baseline="0"/>
            <a:t> Allocate: 15</a:t>
          </a:r>
          <a:endParaRPr lang="en-US" sz="1100"/>
        </a:p>
      </xdr:txBody>
    </xdr:sp>
    <xdr:clientData/>
  </xdr:twoCellAnchor>
  <xdr:twoCellAnchor>
    <xdr:from>
      <xdr:col>7</xdr:col>
      <xdr:colOff>419100</xdr:colOff>
      <xdr:row>8</xdr:row>
      <xdr:rowOff>0</xdr:rowOff>
    </xdr:from>
    <xdr:to>
      <xdr:col>9</xdr:col>
      <xdr:colOff>400050</xdr:colOff>
      <xdr:row>9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11510A-4D6E-4019-BD01-E11FB96C2BBA}"/>
            </a:ext>
          </a:extLst>
        </xdr:cNvPr>
        <xdr:cNvSpPr/>
      </xdr:nvSpPr>
      <xdr:spPr>
        <a:xfrm>
          <a:off x="4962525" y="1533525"/>
          <a:ext cx="1781175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Plant</a:t>
          </a:r>
          <a:endParaRPr lang="en-US" sz="1100"/>
        </a:p>
      </xdr:txBody>
    </xdr:sp>
    <xdr:clientData/>
  </xdr:twoCellAnchor>
  <xdr:twoCellAnchor editAs="oneCell">
    <xdr:from>
      <xdr:col>9</xdr:col>
      <xdr:colOff>66675</xdr:colOff>
      <xdr:row>8</xdr:row>
      <xdr:rowOff>104775</xdr:rowOff>
    </xdr:from>
    <xdr:to>
      <xdr:col>9</xdr:col>
      <xdr:colOff>304800</xdr:colOff>
      <xdr:row>9</xdr:row>
      <xdr:rowOff>95250</xdr:rowOff>
    </xdr:to>
    <xdr:pic>
      <xdr:nvPicPr>
        <xdr:cNvPr id="8" name="Graphic 7" descr="Arrow: Rotate left with solid fill">
          <a:extLst>
            <a:ext uri="{FF2B5EF4-FFF2-40B4-BE49-F238E27FC236}">
              <a16:creationId xmlns:a16="http://schemas.microsoft.com/office/drawing/2014/main" id="{1B6186DA-1EF8-43D6-B70E-1630D7EE4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10325" y="1638300"/>
          <a:ext cx="238125" cy="180975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5</xdr:col>
      <xdr:colOff>600075</xdr:colOff>
      <xdr:row>21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1551A9E-0E28-486C-B58A-19EE96F40FF8}"/>
            </a:ext>
          </a:extLst>
        </xdr:cNvPr>
        <xdr:cNvSpPr/>
      </xdr:nvSpPr>
      <xdr:spPr>
        <a:xfrm>
          <a:off x="2476500" y="3829050"/>
          <a:ext cx="135255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Nacelle</a:t>
          </a:r>
        </a:p>
      </xdr:txBody>
    </xdr:sp>
    <xdr:clientData/>
  </xdr:twoCellAnchor>
  <xdr:twoCellAnchor>
    <xdr:from>
      <xdr:col>6</xdr:col>
      <xdr:colOff>104775</xdr:colOff>
      <xdr:row>20</xdr:row>
      <xdr:rowOff>9525</xdr:rowOff>
    </xdr:from>
    <xdr:to>
      <xdr:col>8</xdr:col>
      <xdr:colOff>85725</xdr:colOff>
      <xdr:row>21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F8FDEAC-9A10-4323-99D2-77753876C06F}"/>
            </a:ext>
          </a:extLst>
        </xdr:cNvPr>
        <xdr:cNvSpPr/>
      </xdr:nvSpPr>
      <xdr:spPr>
        <a:xfrm>
          <a:off x="4095750" y="3829050"/>
          <a:ext cx="1457325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Selected</a:t>
          </a:r>
          <a:r>
            <a:rPr lang="en-US" sz="1100" baseline="0"/>
            <a:t> Qty: 10</a:t>
          </a:r>
          <a:endParaRPr lang="en-US" sz="1100"/>
        </a:p>
      </xdr:txBody>
    </xdr:sp>
    <xdr:clientData/>
  </xdr:twoCellAnchor>
  <xdr:twoCellAnchor>
    <xdr:from>
      <xdr:col>8</xdr:col>
      <xdr:colOff>314325</xdr:colOff>
      <xdr:row>20</xdr:row>
      <xdr:rowOff>38101</xdr:rowOff>
    </xdr:from>
    <xdr:to>
      <xdr:col>8</xdr:col>
      <xdr:colOff>509868</xdr:colOff>
      <xdr:row>21</xdr:row>
      <xdr:rowOff>114301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753CE78-BECB-46B7-8533-D841CF837746}"/>
            </a:ext>
          </a:extLst>
        </xdr:cNvPr>
        <xdr:cNvSpPr/>
      </xdr:nvSpPr>
      <xdr:spPr>
        <a:xfrm>
          <a:off x="5781675" y="3857626"/>
          <a:ext cx="195543" cy="266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361950</xdr:colOff>
      <xdr:row>20</xdr:row>
      <xdr:rowOff>76200</xdr:rowOff>
    </xdr:from>
    <xdr:to>
      <xdr:col>8</xdr:col>
      <xdr:colOff>466724</xdr:colOff>
      <xdr:row>21</xdr:row>
      <xdr:rowOff>66675</xdr:rowOff>
    </xdr:to>
    <xdr:sp macro="" textlink="">
      <xdr:nvSpPr>
        <xdr:cNvPr id="12" name="Plus Sign 11">
          <a:extLst>
            <a:ext uri="{FF2B5EF4-FFF2-40B4-BE49-F238E27FC236}">
              <a16:creationId xmlns:a16="http://schemas.microsoft.com/office/drawing/2014/main" id="{BA44CAF9-2EE9-4401-B825-DB9271AF468D}"/>
            </a:ext>
          </a:extLst>
        </xdr:cNvPr>
        <xdr:cNvSpPr/>
      </xdr:nvSpPr>
      <xdr:spPr>
        <a:xfrm>
          <a:off x="5829300" y="3895725"/>
          <a:ext cx="104774" cy="180975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 b="1"/>
        </a:p>
      </xdr:txBody>
    </xdr:sp>
    <xdr:clientData/>
  </xdr:twoCellAnchor>
  <xdr:twoCellAnchor>
    <xdr:from>
      <xdr:col>5</xdr:col>
      <xdr:colOff>371475</xdr:colOff>
      <xdr:row>22</xdr:row>
      <xdr:rowOff>180975</xdr:rowOff>
    </xdr:from>
    <xdr:to>
      <xdr:col>7</xdr:col>
      <xdr:colOff>352425</xdr:colOff>
      <xdr:row>24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2DA7574-7FF8-45B2-BD76-5283FDFAD97B}"/>
            </a:ext>
          </a:extLst>
        </xdr:cNvPr>
        <xdr:cNvSpPr/>
      </xdr:nvSpPr>
      <xdr:spPr>
        <a:xfrm>
          <a:off x="3600450" y="4381500"/>
          <a:ext cx="129540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Qty</a:t>
          </a:r>
          <a:r>
            <a:rPr lang="en-US" sz="1100" baseline="0"/>
            <a:t> Allocate: 10</a:t>
          </a:r>
          <a:endParaRPr lang="en-US" sz="1100"/>
        </a:p>
      </xdr:txBody>
    </xdr:sp>
    <xdr:clientData/>
  </xdr:twoCellAnchor>
  <xdr:twoCellAnchor>
    <xdr:from>
      <xdr:col>7</xdr:col>
      <xdr:colOff>476250</xdr:colOff>
      <xdr:row>22</xdr:row>
      <xdr:rowOff>171450</xdr:rowOff>
    </xdr:from>
    <xdr:to>
      <xdr:col>9</xdr:col>
      <xdr:colOff>457200</xdr:colOff>
      <xdr:row>24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32B9F4E-9086-4D5B-98A8-D53D49CB39A1}"/>
            </a:ext>
          </a:extLst>
        </xdr:cNvPr>
        <xdr:cNvSpPr/>
      </xdr:nvSpPr>
      <xdr:spPr>
        <a:xfrm>
          <a:off x="5019675" y="4371975"/>
          <a:ext cx="1781175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Plant</a:t>
          </a:r>
          <a:endParaRPr lang="en-US" sz="1100"/>
        </a:p>
      </xdr:txBody>
    </xdr:sp>
    <xdr:clientData/>
  </xdr:twoCellAnchor>
  <xdr:oneCellAnchor>
    <xdr:from>
      <xdr:col>9</xdr:col>
      <xdr:colOff>123825</xdr:colOff>
      <xdr:row>23</xdr:row>
      <xdr:rowOff>85725</xdr:rowOff>
    </xdr:from>
    <xdr:ext cx="238125" cy="180975"/>
    <xdr:pic>
      <xdr:nvPicPr>
        <xdr:cNvPr id="15" name="Graphic 14" descr="Arrow: Rotate left with solid fill">
          <a:extLst>
            <a:ext uri="{FF2B5EF4-FFF2-40B4-BE49-F238E27FC236}">
              <a16:creationId xmlns:a16="http://schemas.microsoft.com/office/drawing/2014/main" id="{ACCD19D6-5017-4439-AD1E-22ADAD812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67475" y="4476750"/>
          <a:ext cx="238125" cy="180975"/>
        </a:xfrm>
        <a:prstGeom prst="rect">
          <a:avLst/>
        </a:prstGeom>
      </xdr:spPr>
    </xdr:pic>
    <xdr:clientData/>
  </xdr:oneCellAnchor>
  <xdr:twoCellAnchor>
    <xdr:from>
      <xdr:col>5</xdr:col>
      <xdr:colOff>371475</xdr:colOff>
      <xdr:row>13</xdr:row>
      <xdr:rowOff>0</xdr:rowOff>
    </xdr:from>
    <xdr:to>
      <xdr:col>7</xdr:col>
      <xdr:colOff>352425</xdr:colOff>
      <xdr:row>14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A967D0-E3CE-4792-BA9D-26AB289C2BE0}"/>
            </a:ext>
          </a:extLst>
        </xdr:cNvPr>
        <xdr:cNvSpPr/>
      </xdr:nvSpPr>
      <xdr:spPr>
        <a:xfrm>
          <a:off x="3600450" y="2486025"/>
          <a:ext cx="129540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Qty</a:t>
          </a:r>
          <a:r>
            <a:rPr lang="en-US" sz="1100" baseline="0"/>
            <a:t> Allocate: 15</a:t>
          </a:r>
          <a:endParaRPr lang="en-US" sz="1100"/>
        </a:p>
      </xdr:txBody>
    </xdr:sp>
    <xdr:clientData/>
  </xdr:twoCellAnchor>
  <xdr:twoCellAnchor>
    <xdr:from>
      <xdr:col>7</xdr:col>
      <xdr:colOff>476250</xdr:colOff>
      <xdr:row>12</xdr:row>
      <xdr:rowOff>180975</xdr:rowOff>
    </xdr:from>
    <xdr:to>
      <xdr:col>9</xdr:col>
      <xdr:colOff>457200</xdr:colOff>
      <xdr:row>14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A33E642-579F-4B27-9E48-3D856A69248A}"/>
            </a:ext>
          </a:extLst>
        </xdr:cNvPr>
        <xdr:cNvSpPr/>
      </xdr:nvSpPr>
      <xdr:spPr>
        <a:xfrm>
          <a:off x="5019675" y="2476500"/>
          <a:ext cx="1781175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Select</a:t>
          </a:r>
          <a:r>
            <a:rPr lang="en-US" sz="1100" baseline="0"/>
            <a:t> Plant</a:t>
          </a:r>
          <a:endParaRPr lang="en-US" sz="1100"/>
        </a:p>
      </xdr:txBody>
    </xdr:sp>
    <xdr:clientData/>
  </xdr:twoCellAnchor>
  <xdr:twoCellAnchor editAs="oneCell">
    <xdr:from>
      <xdr:col>9</xdr:col>
      <xdr:colOff>123825</xdr:colOff>
      <xdr:row>13</xdr:row>
      <xdr:rowOff>95250</xdr:rowOff>
    </xdr:from>
    <xdr:to>
      <xdr:col>9</xdr:col>
      <xdr:colOff>361950</xdr:colOff>
      <xdr:row>14</xdr:row>
      <xdr:rowOff>85725</xdr:rowOff>
    </xdr:to>
    <xdr:pic>
      <xdr:nvPicPr>
        <xdr:cNvPr id="18" name="Graphic 17" descr="Arrow: Rotate left with solid fill">
          <a:extLst>
            <a:ext uri="{FF2B5EF4-FFF2-40B4-BE49-F238E27FC236}">
              <a16:creationId xmlns:a16="http://schemas.microsoft.com/office/drawing/2014/main" id="{40CDAA5C-675B-4E6D-A80E-0C64158BC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67475" y="2581275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533400</xdr:colOff>
          <xdr:row>28</xdr:row>
          <xdr:rowOff>142875</xdr:rowOff>
        </xdr:from>
        <xdr:to>
          <xdr:col>12</xdr:col>
          <xdr:colOff>314325</xdr:colOff>
          <xdr:row>30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96A74A6-2EC4-40B9-B47B-63CDD082D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View 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209550</xdr:colOff>
          <xdr:row>39</xdr:row>
          <xdr:rowOff>95250</xdr:rowOff>
        </xdr:from>
        <xdr:to>
          <xdr:col>9</xdr:col>
          <xdr:colOff>1228725</xdr:colOff>
          <xdr:row>41</xdr:row>
          <xdr:rowOff>28575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D3FE699-618D-4742-8472-194C92D0B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339C4-BEC8-4F3A-B557-9BE6EBC2D259}" name="Table1315" displayName="Table1315" ref="A2:F6" totalsRowShown="0" headerRowDxfId="31">
  <autoFilter ref="A2:F6" xr:uid="{7A7339C4-BEC8-4F3A-B557-9BE6EBC2D259}"/>
  <tableColumns count="6">
    <tableColumn id="1" xr3:uid="{E9C9F1CA-EFF9-4254-857F-91CD598E4C09}" name="id" dataDxfId="30"/>
    <tableColumn id="2" xr3:uid="{04195F03-5209-42AB-9023-9756AFB3C53C}" name="Component Name" dataDxfId="29"/>
    <tableColumn id="6" xr3:uid="{CAF452B3-765F-48EC-A08D-33CD793685D1}" name="Plant" dataDxfId="28"/>
    <tableColumn id="3" xr3:uid="{4AC6D9C4-0306-41C0-8972-D302FEE88638}" name="duration Per Cycle" dataDxfId="27"/>
    <tableColumn id="4" xr3:uid="{3CEF2B88-578F-4F52-9048-192A1ACE5FD9}" name="units Per Cycle" dataDxfId="26"/>
    <tableColumn id="5" xr3:uid="{7F6A134C-2C09-4496-8773-0DD31E8B4E56}" name="production Days Per Unit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73861-F6F4-414E-A8F3-05B8F04A69B5}" name="Table6" displayName="Table6" ref="E10:O60" totalsRowShown="0" headerRowDxfId="24">
  <autoFilter ref="E10:O60" xr:uid="{D0173861-F6F4-414E-A8F3-05B8F04A69B5}"/>
  <tableColumns count="11">
    <tableColumn id="1" xr3:uid="{B7C10F8C-D514-4E90-B1C4-89E1A41C8032}" name="taskId"/>
    <tableColumn id="2" xr3:uid="{26D58807-17BA-4ABB-9C8C-CC6D40D7B57C}" name="serial"/>
    <tableColumn id="3" xr3:uid="{4E654CF2-696D-49D8-9413-9865DC232252}" name="stage"/>
    <tableColumn id="4" xr3:uid="{20B43CC5-0CF4-4FC4-984E-3D6924D0B6F6}" name="project"/>
    <tableColumn id="10" xr3:uid="{E66BA5AC-0CAB-4C75-BD85-D63151F52331}" name="assignedOn"/>
    <tableColumn id="5" xr3:uid="{69EB6E38-E955-46F0-8D33-BD06C4CA6B13}" name="plannedStart" dataDxfId="23"/>
    <tableColumn id="6" xr3:uid="{1177A02E-EFA2-4C8A-AF5E-01376BCA38B5}" name="plannedFinish" dataDxfId="22"/>
    <tableColumn id="7" xr3:uid="{B7A2343F-7186-4FCE-A1FC-9048430D8C5E}" name="actualStart"/>
    <tableColumn id="8" xr3:uid="{F34E2B81-9B15-4B72-8DA0-D76A3524E8C3}" name="actualFinish"/>
    <tableColumn id="11" xr3:uid="{7C1F3731-928E-4EBE-B77E-753E0D58CA21}" name="finalQc"/>
    <tableColumn id="9" xr3:uid="{3A93212B-455B-468C-8B7C-FFBE4DB5F724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5A680E-C0A5-49F0-B726-117ECFE85DB8}" name="Table10" displayName="Table10" ref="A2:D5" totalsRowShown="0" headerRowDxfId="21">
  <autoFilter ref="A2:D5" xr:uid="{1A5A680E-C0A5-49F0-B726-117ECFE85DB8}"/>
  <tableColumns count="4">
    <tableColumn id="1" xr3:uid="{62340AF0-2893-4286-8866-4692C457A579}" name="id"/>
    <tableColumn id="2" xr3:uid="{15782137-4FD9-43FF-A55C-520ECC753A09}" name="ComponentName"/>
    <tableColumn id="3" xr3:uid="{61257ACF-B9FD-4B61-A4BC-A2FCEED9B545}" name="inspectionLagDays"/>
    <tableColumn id="4" xr3:uid="{4D96634C-1F6A-435A-8759-7E9AFFCF4532}" name="mdccLagDay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D40418-6094-40B0-B04C-093DC2EFE34A}" name="Table9" displayName="Table9" ref="E10:P19" totalsRowShown="0" headerRowDxfId="20">
  <autoFilter ref="E10:P19" xr:uid="{D3D40418-6094-40B0-B04C-093DC2EFE34A}"/>
  <tableColumns count="12">
    <tableColumn id="2" xr3:uid="{85A3D96A-F309-496B-BCB0-3B7B05F79F62}" name="serial"/>
    <tableColumn id="3" xr3:uid="{B476431C-5A2A-4EFE-8036-113D2E6841FA}" name="stage"/>
    <tableColumn id="4" xr3:uid="{7B7E9CF7-07C9-4FCA-B66E-C0300EE4C377}" name="project"/>
    <tableColumn id="5" xr3:uid="{416ABDB1-7C08-42A0-A435-A0721A6EEAB9}" name="plannedStart" dataDxfId="19"/>
    <tableColumn id="6" xr3:uid="{17439CBA-5E0E-4FBF-9CE3-972D9217D6F3}" name="plannedFinish" dataDxfId="18"/>
    <tableColumn id="7" xr3:uid="{F92D4478-D026-4D3C-B966-665203F4197C}" name="actualStart" dataDxfId="17"/>
    <tableColumn id="8" xr3:uid="{1040B1ED-14C0-49DA-85D9-3F0541C47DFC}" name="actualFinish" dataDxfId="16"/>
    <tableColumn id="9" xr3:uid="{565D7CE0-5D3D-4B7C-B1E1-1D608E0492ED}" name="inspectionCallPlan" dataDxfId="1"/>
    <tableColumn id="10" xr3:uid="{F16B9EF2-1E14-4899-B81D-3960022EBE79}" name="customerInspetionActual" dataDxfId="15"/>
    <tableColumn id="11" xr3:uid="{C1162DD1-55BF-4950-9503-817F7EFDBE4C}" name="customerInProgressInspection" dataDxfId="14"/>
    <tableColumn id="12" xr3:uid="{F20F19B2-D3A8-454C-B7A7-C0C377019BF6}" name="mdccPlan" dataDxfId="0">
      <calculatedColumnFormula>L11+1</calculatedColumnFormula>
    </tableColumn>
    <tableColumn id="13" xr3:uid="{A5104C3D-B36A-41D1-B4A7-FAE8E2462039}" name="mdccActual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C49FB9-3711-413D-A824-89867328427A}" name="Table15" displayName="Table15" ref="A2:F5" totalsRowShown="0" headerRowDxfId="12" dataDxfId="11">
  <autoFilter ref="A2:F5" xr:uid="{1CC49FB9-3711-413D-A824-89867328427A}"/>
  <tableColumns count="6">
    <tableColumn id="1" xr3:uid="{E6EACB84-C877-4DEC-B810-FCC42232BB13}" name="id" dataDxfId="10"/>
    <tableColumn id="2" xr3:uid="{B6940C1B-5C2E-4770-853A-E1E247700A11}" name="C-Name" dataDxfId="9"/>
    <tableColumn id="5" xr3:uid="{7D06B1A4-9CF8-481C-8C75-6C50F4B7A334}" name="plant"/>
    <tableColumn id="3" xr3:uid="{9E5B0960-EAD4-4E08-9CF1-9BB5AE1113DA}" name="count" dataDxfId="8"/>
    <tableColumn id="4" xr3:uid="{8B146F29-623A-4746-B3B7-C3AF31222F53}" name="deliveryDuration" dataDxfId="7"/>
    <tableColumn id="6" xr3:uid="{C7A44249-2B07-48FF-AC97-E2BE4D0AA13B}" name="unloadDuration" dataDxfId="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4512B8-47B0-4FF6-8184-854AB2BB1FC3}" name="Table12" displayName="Table12" ref="F9:AD22" totalsRowShown="0" headerRowDxfId="5" headerRowBorderDxfId="3" tableBorderDxfId="4">
  <autoFilter ref="F9:AD22" xr:uid="{0C4512B8-47B0-4FF6-8184-854AB2BB1FC3}"/>
  <tableColumns count="25">
    <tableColumn id="1" xr3:uid="{4C628AB7-4BBB-4F39-91BD-88DAB90F1539}" name="taskId"/>
    <tableColumn id="2" xr3:uid="{FEC9310F-EE32-401F-8492-666351755269}" name="Component"/>
    <tableColumn id="3" xr3:uid="{8B54338F-B5A8-48A3-B458-E3E24F0B17F0}" name="serial"/>
    <tableColumn id="4" xr3:uid="{6FAB2093-EF9E-4C13-885A-EE26C5CF864A}" name="stage"/>
    <tableColumn id="5" xr3:uid="{F09E7829-D6D5-4F48-85B5-E349C2D8A2D5}" name="project"/>
    <tableColumn id="6" xr3:uid="{5FFD5162-97F3-4761-BE0F-084EF3ACA9A0}" name="plannedStart"/>
    <tableColumn id="7" xr3:uid="{F214C871-F6FE-4096-8BE9-CF53A700BF7F}" name="plannedFinish"/>
    <tableColumn id="8" xr3:uid="{F7961FD2-C1F7-4B2B-A4FA-957C164B8D1F}" name="actualStart"/>
    <tableColumn id="9" xr3:uid="{318C91A2-AF61-498C-8B15-5DEAA6D8E35D}" name="actualFinish"/>
    <tableColumn id="10" xr3:uid="{0F77930D-C250-49A5-885D-F402DC4987E2}" name="status"/>
    <tableColumn id="11" xr3:uid="{647CA339-8045-49AB-BFF3-7B0ADFE1D3E2}" name="frameNo"/>
    <tableColumn id="12" xr3:uid="{EE830217-2BD7-4888-B52D-52916F664409}" name="rootFrameNo"/>
    <tableColumn id="13" xr3:uid="{6B4BD336-9B6B-4D7D-894F-9447B288C6FE}" name="tipFrameNo"/>
    <tableColumn id="14" xr3:uid="{D77AAC32-1A07-47C2-A9FD-4BEB75B61359}" name="transporter"/>
    <tableColumn id="15" xr3:uid="{6DC7D20E-57F6-4DBB-91D4-037B3F02E473}" name="invoiceNumber"/>
    <tableColumn id="16" xr3:uid="{634F9D31-4E45-46F2-AF28-26DFAAEF7AF4}" name="invoiceDate"/>
    <tableColumn id="17" xr3:uid="{F49986EA-B878-4536-BA62-97DFBC34BAB0}" name="vehicleNo"/>
    <tableColumn id="18" xr3:uid="{382507DF-86FC-4E24-BB72-6637EC7BC31B}" name="lrNumber"/>
    <tableColumn id="19" xr3:uid="{DAD5F027-5D79-4323-9EFB-DE4BDAFD71EB}" name="lrDate"/>
    <tableColumn id="20" xr3:uid="{B6F12C08-E776-437F-909D-493C24F49544}" name="dcNo"/>
    <tableColumn id="21" xr3:uid="{D787E152-E347-4E8B-8BD1-6D4356E80B9D}" name="dcDate"/>
    <tableColumn id="22" xr3:uid="{29F0A024-B7D7-4667-9606-B6C9343E42AB}" name="vehicleInDate"/>
    <tableColumn id="23" xr3:uid="{E235A77B-F93D-4A76-A1E6-15F485CA1390}" name="deliveryPlanFinish"/>
    <tableColumn id="24" xr3:uid="{63A99B58-C6AD-4AE3-B36C-73B7F2437664}" name="deliveryActualFinish"/>
    <tableColumn id="25" xr3:uid="{9C841FEF-2333-43F5-98CE-047D4CEFA837}" name="deliveryDelayReason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ED99-C419-4F90-8841-5C9A660D499F}">
  <dimension ref="A1:T61"/>
  <sheetViews>
    <sheetView tabSelected="1" workbookViewId="0">
      <selection activeCell="N8" sqref="N8"/>
    </sheetView>
  </sheetViews>
  <sheetFormatPr defaultRowHeight="15" x14ac:dyDescent="0.25"/>
  <cols>
    <col min="1" max="1" width="15.42578125" bestFit="1" customWidth="1"/>
    <col min="2" max="2" width="7.28515625" bestFit="1" customWidth="1"/>
    <col min="3" max="3" width="9.42578125" bestFit="1" customWidth="1"/>
    <col min="4" max="4" width="9" bestFit="1" customWidth="1"/>
    <col min="5" max="6" width="11.28515625" bestFit="1" customWidth="1"/>
    <col min="7" max="7" width="10.7109375" bestFit="1" customWidth="1"/>
    <col min="8" max="8" width="6.5703125" bestFit="1" customWidth="1"/>
    <col min="9" max="9" width="7" bestFit="1" customWidth="1"/>
    <col min="10" max="11" width="7.28515625" bestFit="1" customWidth="1"/>
    <col min="12" max="13" width="7.5703125" bestFit="1" customWidth="1"/>
    <col min="14" max="14" width="6.7109375" bestFit="1" customWidth="1"/>
    <col min="15" max="16" width="7.140625" bestFit="1" customWidth="1"/>
    <col min="17" max="17" width="7" bestFit="1" customWidth="1"/>
    <col min="18" max="19" width="7.28515625" bestFit="1" customWidth="1"/>
    <col min="20" max="20" width="7" bestFit="1" customWidth="1"/>
  </cols>
  <sheetData>
    <row r="1" spans="2:19" ht="21" customHeight="1" x14ac:dyDescent="0.25">
      <c r="B1" s="64" t="s">
        <v>134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2:19" ht="15" customHeight="1" x14ac:dyDescent="0.25"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2:19" ht="15.75" customHeight="1" thickBot="1" x14ac:dyDescent="0.3"/>
    <row r="4" spans="2:19" x14ac:dyDescent="0.25"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2:19" x14ac:dyDescent="0.25">
      <c r="B5" s="15"/>
      <c r="I5" t="s">
        <v>135</v>
      </c>
      <c r="S5" s="16"/>
    </row>
    <row r="6" spans="2:19" x14ac:dyDescent="0.25">
      <c r="B6" s="15"/>
      <c r="S6" s="16"/>
    </row>
    <row r="7" spans="2:19" x14ac:dyDescent="0.25">
      <c r="B7" s="15"/>
      <c r="C7">
        <v>2026</v>
      </c>
      <c r="F7" t="s">
        <v>136</v>
      </c>
      <c r="S7" s="16"/>
    </row>
    <row r="8" spans="2:19" x14ac:dyDescent="0.25">
      <c r="B8" s="15"/>
      <c r="S8" s="16"/>
    </row>
    <row r="9" spans="2:19" x14ac:dyDescent="0.25">
      <c r="B9" s="65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66"/>
    </row>
    <row r="10" spans="2:19" x14ac:dyDescent="0.25">
      <c r="B10" s="67">
        <v>1</v>
      </c>
      <c r="S10" s="16"/>
    </row>
    <row r="11" spans="2:19" x14ac:dyDescent="0.25">
      <c r="B11" s="15"/>
      <c r="S11" s="16"/>
    </row>
    <row r="12" spans="2:19" x14ac:dyDescent="0.25">
      <c r="B12" s="15"/>
      <c r="D12" t="s">
        <v>137</v>
      </c>
      <c r="F12" t="s">
        <v>138</v>
      </c>
      <c r="S12" s="16"/>
    </row>
    <row r="13" spans="2:19" x14ac:dyDescent="0.25">
      <c r="B13" s="15"/>
      <c r="S13" s="16"/>
    </row>
    <row r="14" spans="2:19" x14ac:dyDescent="0.25">
      <c r="B14" s="15"/>
      <c r="C14" s="40" t="s">
        <v>139</v>
      </c>
      <c r="D14" s="40" t="s">
        <v>140</v>
      </c>
      <c r="E14" s="40" t="s">
        <v>141</v>
      </c>
      <c r="F14" s="40" t="s">
        <v>142</v>
      </c>
      <c r="G14" s="40" t="s">
        <v>143</v>
      </c>
      <c r="H14" s="68">
        <v>46023</v>
      </c>
      <c r="I14" s="68">
        <v>46054</v>
      </c>
      <c r="J14" s="68">
        <v>46082</v>
      </c>
      <c r="K14" s="68">
        <v>46113</v>
      </c>
      <c r="L14" s="68">
        <v>46143</v>
      </c>
      <c r="M14" s="68">
        <v>46174</v>
      </c>
      <c r="N14" s="68">
        <v>46204</v>
      </c>
      <c r="O14" s="68">
        <v>46235</v>
      </c>
      <c r="P14" s="68">
        <v>46266</v>
      </c>
      <c r="Q14" s="68">
        <v>46296</v>
      </c>
      <c r="R14" s="68">
        <v>46327</v>
      </c>
      <c r="S14" s="69">
        <v>46357</v>
      </c>
    </row>
    <row r="15" spans="2:19" x14ac:dyDescent="0.25">
      <c r="B15" s="15"/>
      <c r="C15" s="70" t="s">
        <v>144</v>
      </c>
      <c r="D15" s="70">
        <v>5</v>
      </c>
      <c r="E15" s="70" t="s">
        <v>145</v>
      </c>
      <c r="F15" s="70" t="s">
        <v>146</v>
      </c>
      <c r="G15" s="70">
        <v>10</v>
      </c>
      <c r="H15" s="6">
        <v>2</v>
      </c>
      <c r="I15" s="6">
        <v>2</v>
      </c>
      <c r="J15" s="6">
        <v>2</v>
      </c>
      <c r="K15" s="6">
        <v>2</v>
      </c>
      <c r="L15" s="6">
        <v>1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71">
        <v>0</v>
      </c>
    </row>
    <row r="16" spans="2:19" x14ac:dyDescent="0.25">
      <c r="B16" s="15"/>
      <c r="C16" s="70" t="s">
        <v>147</v>
      </c>
      <c r="D16" s="70">
        <v>3.3</v>
      </c>
      <c r="E16" s="70" t="s">
        <v>148</v>
      </c>
      <c r="F16" s="70" t="s">
        <v>149</v>
      </c>
      <c r="G16" s="70">
        <v>10</v>
      </c>
      <c r="H16" s="6">
        <v>1</v>
      </c>
      <c r="I16" s="6">
        <v>1</v>
      </c>
      <c r="J16" s="6">
        <v>1</v>
      </c>
      <c r="K16" s="6">
        <v>1</v>
      </c>
      <c r="L16" s="6">
        <v>2</v>
      </c>
      <c r="M16" s="6">
        <v>2</v>
      </c>
      <c r="N16" s="6">
        <v>2</v>
      </c>
      <c r="O16" s="6">
        <v>0</v>
      </c>
      <c r="P16" s="6">
        <v>0</v>
      </c>
      <c r="Q16" s="6">
        <v>0</v>
      </c>
      <c r="R16" s="6">
        <v>0</v>
      </c>
      <c r="S16" s="71">
        <v>0</v>
      </c>
    </row>
    <row r="17" spans="2:19" x14ac:dyDescent="0.25">
      <c r="B17" s="15"/>
      <c r="C17" s="72" t="s">
        <v>150</v>
      </c>
      <c r="D17" s="72"/>
      <c r="E17" s="72"/>
      <c r="F17" s="72"/>
      <c r="G17" s="73">
        <v>20</v>
      </c>
      <c r="H17" s="74">
        <v>3</v>
      </c>
      <c r="I17" s="74">
        <v>3</v>
      </c>
      <c r="J17" s="74">
        <v>3</v>
      </c>
      <c r="K17" s="74">
        <v>3</v>
      </c>
      <c r="L17" s="74">
        <v>3</v>
      </c>
      <c r="M17" s="74">
        <v>3</v>
      </c>
      <c r="N17" s="74">
        <v>2</v>
      </c>
      <c r="O17" s="74">
        <v>0</v>
      </c>
      <c r="P17" s="74">
        <v>0</v>
      </c>
      <c r="Q17" s="74">
        <v>0</v>
      </c>
      <c r="R17" s="74">
        <v>0</v>
      </c>
      <c r="S17" s="75">
        <v>0</v>
      </c>
    </row>
    <row r="18" spans="2:19" x14ac:dyDescent="0.25">
      <c r="B18" s="76"/>
      <c r="C18" s="77" t="s">
        <v>151</v>
      </c>
      <c r="D18" s="77"/>
      <c r="E18" s="77"/>
      <c r="F18" s="77"/>
      <c r="G18" s="77"/>
      <c r="H18" s="60" t="s">
        <v>152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78"/>
    </row>
    <row r="19" spans="2:19" x14ac:dyDescent="0.25">
      <c r="B19" s="15"/>
      <c r="S19" s="16"/>
    </row>
    <row r="20" spans="2:19" x14ac:dyDescent="0.25">
      <c r="B20" s="65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66"/>
    </row>
    <row r="21" spans="2:19" x14ac:dyDescent="0.25">
      <c r="B21" s="67">
        <v>2</v>
      </c>
      <c r="S21" s="16"/>
    </row>
    <row r="22" spans="2:19" x14ac:dyDescent="0.25">
      <c r="B22" s="15"/>
      <c r="S22" s="16"/>
    </row>
    <row r="23" spans="2:19" x14ac:dyDescent="0.25">
      <c r="B23" s="15"/>
      <c r="D23" t="s">
        <v>137</v>
      </c>
      <c r="F23" t="s">
        <v>153</v>
      </c>
      <c r="S23" s="16"/>
    </row>
    <row r="24" spans="2:19" x14ac:dyDescent="0.25">
      <c r="B24" s="15"/>
      <c r="S24" s="16"/>
    </row>
    <row r="25" spans="2:19" x14ac:dyDescent="0.25">
      <c r="B25" s="15"/>
      <c r="C25" s="40" t="s">
        <v>139</v>
      </c>
      <c r="D25" s="40" t="s">
        <v>140</v>
      </c>
      <c r="E25" s="40" t="s">
        <v>141</v>
      </c>
      <c r="F25" s="40" t="s">
        <v>142</v>
      </c>
      <c r="G25" s="40" t="s">
        <v>143</v>
      </c>
      <c r="H25" s="68">
        <v>46023</v>
      </c>
      <c r="I25" s="68">
        <v>46054</v>
      </c>
      <c r="J25" s="68">
        <v>46082</v>
      </c>
      <c r="K25" s="68">
        <v>46113</v>
      </c>
      <c r="L25" s="68">
        <v>46143</v>
      </c>
      <c r="M25" s="68">
        <v>46174</v>
      </c>
      <c r="N25" s="68">
        <v>46204</v>
      </c>
      <c r="O25" s="68">
        <v>46235</v>
      </c>
      <c r="P25" s="68">
        <v>46266</v>
      </c>
      <c r="Q25" s="68">
        <v>46296</v>
      </c>
      <c r="R25" s="68">
        <v>46327</v>
      </c>
      <c r="S25" s="69">
        <v>46357</v>
      </c>
    </row>
    <row r="26" spans="2:19" x14ac:dyDescent="0.25">
      <c r="B26" s="15"/>
      <c r="C26" s="70" t="s">
        <v>144</v>
      </c>
      <c r="D26" s="70">
        <v>5</v>
      </c>
      <c r="E26" s="70" t="s">
        <v>145</v>
      </c>
      <c r="F26" s="70" t="s">
        <v>146</v>
      </c>
      <c r="G26" s="70">
        <v>8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1</v>
      </c>
      <c r="N26" s="6">
        <v>2</v>
      </c>
      <c r="O26" s="6">
        <v>2</v>
      </c>
      <c r="P26" s="6">
        <v>1</v>
      </c>
      <c r="Q26" s="6">
        <v>1</v>
      </c>
      <c r="R26" s="6">
        <v>0</v>
      </c>
      <c r="S26" s="71">
        <v>0</v>
      </c>
    </row>
    <row r="27" spans="2:19" x14ac:dyDescent="0.25">
      <c r="B27" s="15"/>
      <c r="C27" s="70" t="s">
        <v>147</v>
      </c>
      <c r="D27" s="70">
        <v>3.3</v>
      </c>
      <c r="E27" s="70" t="s">
        <v>148</v>
      </c>
      <c r="F27" s="70" t="s">
        <v>149</v>
      </c>
      <c r="G27" s="70">
        <v>5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1</v>
      </c>
      <c r="O27" s="6">
        <v>1</v>
      </c>
      <c r="P27" s="6">
        <v>2</v>
      </c>
      <c r="Q27" s="6">
        <v>0</v>
      </c>
      <c r="R27" s="6">
        <v>0</v>
      </c>
      <c r="S27" s="71">
        <v>0</v>
      </c>
    </row>
    <row r="28" spans="2:19" x14ac:dyDescent="0.25">
      <c r="B28" s="15"/>
      <c r="C28" s="72" t="s">
        <v>150</v>
      </c>
      <c r="D28" s="72"/>
      <c r="E28" s="72"/>
      <c r="F28" s="72"/>
      <c r="G28" s="70">
        <v>13</v>
      </c>
      <c r="H28" s="74">
        <v>0</v>
      </c>
      <c r="I28" s="74">
        <v>0</v>
      </c>
      <c r="J28" s="74">
        <v>0</v>
      </c>
      <c r="K28" s="74">
        <v>0</v>
      </c>
      <c r="L28" s="74">
        <v>1</v>
      </c>
      <c r="M28" s="74">
        <v>2</v>
      </c>
      <c r="N28" s="74">
        <v>3</v>
      </c>
      <c r="O28" s="74">
        <v>3</v>
      </c>
      <c r="P28" s="74">
        <v>3</v>
      </c>
      <c r="Q28" s="74">
        <v>1</v>
      </c>
      <c r="R28" s="74">
        <v>0</v>
      </c>
      <c r="S28" s="75">
        <v>0</v>
      </c>
    </row>
    <row r="29" spans="2:19" x14ac:dyDescent="0.25">
      <c r="B29" s="76"/>
      <c r="C29" s="77" t="s">
        <v>151</v>
      </c>
      <c r="D29" s="77"/>
      <c r="E29" s="77"/>
      <c r="F29" s="77"/>
      <c r="G29" s="77"/>
      <c r="H29" s="60" t="s">
        <v>152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78"/>
    </row>
    <row r="30" spans="2:19" x14ac:dyDescent="0.25">
      <c r="B30" s="15"/>
      <c r="S30" s="16"/>
    </row>
    <row r="31" spans="2:19" x14ac:dyDescent="0.25">
      <c r="B31" s="6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66"/>
    </row>
    <row r="32" spans="2:19" x14ac:dyDescent="0.25">
      <c r="B32" s="67">
        <v>3</v>
      </c>
      <c r="S32" s="16"/>
    </row>
    <row r="33" spans="1:20" x14ac:dyDescent="0.25">
      <c r="B33" s="15"/>
      <c r="S33" s="16"/>
    </row>
    <row r="34" spans="1:20" x14ac:dyDescent="0.25">
      <c r="B34" s="15"/>
      <c r="D34" t="s">
        <v>154</v>
      </c>
      <c r="F34" t="s">
        <v>155</v>
      </c>
      <c r="S34" s="16"/>
    </row>
    <row r="35" spans="1:20" x14ac:dyDescent="0.25">
      <c r="B35" s="15"/>
      <c r="S35" s="16"/>
    </row>
    <row r="36" spans="1:20" x14ac:dyDescent="0.25">
      <c r="B36" s="15"/>
      <c r="C36" s="40" t="s">
        <v>139</v>
      </c>
      <c r="D36" s="40" t="s">
        <v>140</v>
      </c>
      <c r="E36" s="40" t="s">
        <v>141</v>
      </c>
      <c r="F36" s="40" t="s">
        <v>142</v>
      </c>
      <c r="G36" s="40" t="s">
        <v>143</v>
      </c>
      <c r="H36" s="68">
        <v>46023</v>
      </c>
      <c r="I36" s="68">
        <v>46054</v>
      </c>
      <c r="J36" s="68">
        <v>46082</v>
      </c>
      <c r="K36" s="68">
        <v>46113</v>
      </c>
      <c r="L36" s="68">
        <v>46143</v>
      </c>
      <c r="M36" s="68">
        <v>46174</v>
      </c>
      <c r="N36" s="68">
        <v>46204</v>
      </c>
      <c r="O36" s="68">
        <v>46235</v>
      </c>
      <c r="P36" s="68">
        <v>46266</v>
      </c>
      <c r="Q36" s="68">
        <v>46296</v>
      </c>
      <c r="R36" s="68">
        <v>46327</v>
      </c>
      <c r="S36" s="69">
        <v>46357</v>
      </c>
    </row>
    <row r="37" spans="1:20" x14ac:dyDescent="0.25">
      <c r="B37" s="15"/>
      <c r="C37" s="70" t="s">
        <v>156</v>
      </c>
      <c r="D37" s="70">
        <v>2.4</v>
      </c>
      <c r="E37" s="70" t="s">
        <v>148</v>
      </c>
      <c r="F37" s="70" t="s">
        <v>149</v>
      </c>
      <c r="G37" s="70">
        <v>15</v>
      </c>
      <c r="H37" s="6">
        <v>3</v>
      </c>
      <c r="I37" s="6">
        <v>2</v>
      </c>
      <c r="J37" s="6">
        <v>3</v>
      </c>
      <c r="K37" s="6">
        <v>2</v>
      </c>
      <c r="L37" s="6">
        <v>1</v>
      </c>
      <c r="M37" s="6">
        <v>1</v>
      </c>
      <c r="N37" s="6">
        <v>1</v>
      </c>
      <c r="O37" s="6">
        <v>2</v>
      </c>
      <c r="P37" s="6">
        <v>0</v>
      </c>
      <c r="Q37" s="6">
        <v>0</v>
      </c>
      <c r="R37" s="6">
        <v>0</v>
      </c>
      <c r="S37" s="71">
        <v>0</v>
      </c>
    </row>
    <row r="38" spans="1:20" x14ac:dyDescent="0.25">
      <c r="B38" s="15"/>
      <c r="C38" s="70" t="s">
        <v>144</v>
      </c>
      <c r="D38" s="70">
        <v>5</v>
      </c>
      <c r="E38" s="70" t="s">
        <v>145</v>
      </c>
      <c r="F38" s="70" t="s">
        <v>146</v>
      </c>
      <c r="G38" s="70">
        <v>9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3</v>
      </c>
      <c r="R38" s="6">
        <v>3</v>
      </c>
      <c r="S38" s="71">
        <v>3</v>
      </c>
    </row>
    <row r="39" spans="1:20" x14ac:dyDescent="0.25">
      <c r="B39" s="15"/>
      <c r="C39" s="70" t="s">
        <v>147</v>
      </c>
      <c r="D39" s="70">
        <v>3.3</v>
      </c>
      <c r="E39" s="70" t="s">
        <v>148</v>
      </c>
      <c r="F39" s="70" t="s">
        <v>149</v>
      </c>
      <c r="G39" s="70">
        <v>6</v>
      </c>
      <c r="H39" s="6">
        <v>0</v>
      </c>
      <c r="I39" s="6">
        <v>0</v>
      </c>
      <c r="J39" s="6">
        <v>0</v>
      </c>
      <c r="K39" s="6">
        <v>0</v>
      </c>
      <c r="L39" s="6">
        <v>2</v>
      </c>
      <c r="M39" s="6">
        <v>2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71">
        <v>0</v>
      </c>
    </row>
    <row r="40" spans="1:20" x14ac:dyDescent="0.25">
      <c r="B40" s="15"/>
      <c r="C40" s="72" t="s">
        <v>150</v>
      </c>
      <c r="D40" s="72"/>
      <c r="E40" s="72"/>
      <c r="F40" s="72"/>
      <c r="G40" s="70">
        <v>30</v>
      </c>
      <c r="H40" s="74">
        <v>3</v>
      </c>
      <c r="I40" s="74">
        <v>2</v>
      </c>
      <c r="J40" s="74">
        <v>3</v>
      </c>
      <c r="K40" s="74">
        <v>2</v>
      </c>
      <c r="L40" s="74">
        <v>3</v>
      </c>
      <c r="M40" s="74">
        <v>3</v>
      </c>
      <c r="N40" s="74">
        <v>3</v>
      </c>
      <c r="O40" s="74">
        <v>2</v>
      </c>
      <c r="P40" s="74">
        <v>0</v>
      </c>
      <c r="Q40" s="74">
        <v>3</v>
      </c>
      <c r="R40" s="74">
        <v>3</v>
      </c>
      <c r="S40" s="75">
        <v>3</v>
      </c>
    </row>
    <row r="41" spans="1:20" x14ac:dyDescent="0.25">
      <c r="B41" s="76"/>
      <c r="C41" s="77" t="s">
        <v>151</v>
      </c>
      <c r="D41" s="77"/>
      <c r="E41" s="77"/>
      <c r="F41" s="77"/>
      <c r="G41" s="77"/>
      <c r="H41" s="60" t="s">
        <v>152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78"/>
    </row>
    <row r="42" spans="1:20" x14ac:dyDescent="0.25">
      <c r="B42" s="15"/>
      <c r="S42" s="16"/>
    </row>
    <row r="43" spans="1:20" x14ac:dyDescent="0.25">
      <c r="B43" s="15"/>
      <c r="S43" s="16"/>
    </row>
    <row r="44" spans="1:20" x14ac:dyDescent="0.25">
      <c r="B44" s="15"/>
      <c r="S44" s="16"/>
    </row>
    <row r="45" spans="1:20" ht="15.75" thickBot="1" x14ac:dyDescent="0.3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5"/>
    </row>
    <row r="46" spans="1:20" ht="15.75" thickBot="1" x14ac:dyDescent="0.3"/>
    <row r="47" spans="1:20" ht="26.25" customHeight="1" x14ac:dyDescent="0.25">
      <c r="A47" s="79" t="s">
        <v>157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1"/>
    </row>
    <row r="48" spans="1:20" x14ac:dyDescent="0.25">
      <c r="A48" s="15"/>
      <c r="T48" s="16"/>
    </row>
    <row r="49" spans="1:20" x14ac:dyDescent="0.25">
      <c r="A49" s="82" t="s">
        <v>158</v>
      </c>
      <c r="B49" s="83" t="s">
        <v>159</v>
      </c>
      <c r="C49" s="83" t="s">
        <v>160</v>
      </c>
      <c r="D49" s="83" t="s">
        <v>161</v>
      </c>
      <c r="E49" s="83" t="s">
        <v>140</v>
      </c>
      <c r="F49" s="83" t="s">
        <v>141</v>
      </c>
      <c r="G49" s="83" t="s">
        <v>142</v>
      </c>
      <c r="H49" s="83" t="s">
        <v>143</v>
      </c>
      <c r="I49" s="84">
        <v>46023</v>
      </c>
      <c r="J49" s="84">
        <v>46054</v>
      </c>
      <c r="K49" s="84">
        <v>46082</v>
      </c>
      <c r="L49" s="84">
        <v>46113</v>
      </c>
      <c r="M49" s="84">
        <v>46143</v>
      </c>
      <c r="N49" s="84">
        <v>46174</v>
      </c>
      <c r="O49" s="84">
        <v>46204</v>
      </c>
      <c r="P49" s="84">
        <v>46235</v>
      </c>
      <c r="Q49" s="84">
        <v>46266</v>
      </c>
      <c r="R49" s="84">
        <v>46296</v>
      </c>
      <c r="S49" s="84">
        <v>46327</v>
      </c>
      <c r="T49" s="85">
        <v>46357</v>
      </c>
    </row>
    <row r="50" spans="1:20" x14ac:dyDescent="0.25">
      <c r="A50" s="50" t="s">
        <v>136</v>
      </c>
      <c r="B50" s="6" t="s">
        <v>137</v>
      </c>
      <c r="C50" s="6" t="s">
        <v>138</v>
      </c>
      <c r="D50" s="6" t="s">
        <v>144</v>
      </c>
      <c r="E50" s="6">
        <v>5</v>
      </c>
      <c r="F50" s="6" t="s">
        <v>145</v>
      </c>
      <c r="G50" s="6" t="s">
        <v>146</v>
      </c>
      <c r="H50" s="40">
        <v>10</v>
      </c>
      <c r="I50" s="6">
        <v>2</v>
      </c>
      <c r="J50" s="6">
        <v>2</v>
      </c>
      <c r="K50" s="6">
        <v>2</v>
      </c>
      <c r="L50" s="6">
        <v>2</v>
      </c>
      <c r="M50" s="6">
        <v>1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71">
        <v>0</v>
      </c>
    </row>
    <row r="51" spans="1:20" x14ac:dyDescent="0.25">
      <c r="A51" s="50" t="s">
        <v>136</v>
      </c>
      <c r="B51" s="6" t="s">
        <v>137</v>
      </c>
      <c r="C51" s="6" t="s">
        <v>138</v>
      </c>
      <c r="D51" s="6" t="s">
        <v>147</v>
      </c>
      <c r="E51" s="6">
        <v>3.3</v>
      </c>
      <c r="F51" s="6" t="s">
        <v>148</v>
      </c>
      <c r="G51" s="6" t="s">
        <v>149</v>
      </c>
      <c r="H51" s="40">
        <v>10</v>
      </c>
      <c r="I51" s="6">
        <v>1</v>
      </c>
      <c r="J51" s="6">
        <v>1</v>
      </c>
      <c r="K51" s="6">
        <v>1</v>
      </c>
      <c r="L51" s="6">
        <v>1</v>
      </c>
      <c r="M51" s="6">
        <v>2</v>
      </c>
      <c r="N51" s="6">
        <v>2</v>
      </c>
      <c r="O51" s="6">
        <v>2</v>
      </c>
      <c r="P51" s="6">
        <v>0</v>
      </c>
      <c r="Q51" s="6">
        <v>0</v>
      </c>
      <c r="R51" s="6">
        <v>0</v>
      </c>
      <c r="S51" s="6">
        <v>0</v>
      </c>
      <c r="T51" s="71">
        <v>0</v>
      </c>
    </row>
    <row r="52" spans="1:20" x14ac:dyDescent="0.25">
      <c r="A52" s="50" t="s">
        <v>136</v>
      </c>
      <c r="B52" s="6" t="s">
        <v>137</v>
      </c>
      <c r="C52" s="6" t="s">
        <v>153</v>
      </c>
      <c r="D52" s="6" t="s">
        <v>144</v>
      </c>
      <c r="E52" s="6">
        <v>5</v>
      </c>
      <c r="F52" s="6" t="s">
        <v>145</v>
      </c>
      <c r="G52" s="6" t="s">
        <v>146</v>
      </c>
      <c r="H52" s="40">
        <v>8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1</v>
      </c>
      <c r="O52" s="6">
        <v>2</v>
      </c>
      <c r="P52" s="6">
        <v>2</v>
      </c>
      <c r="Q52" s="6">
        <v>1</v>
      </c>
      <c r="R52" s="6">
        <v>1</v>
      </c>
      <c r="S52" s="6">
        <v>0</v>
      </c>
      <c r="T52" s="71">
        <v>0</v>
      </c>
    </row>
    <row r="53" spans="1:20" x14ac:dyDescent="0.25">
      <c r="A53" s="50" t="s">
        <v>136</v>
      </c>
      <c r="B53" s="6" t="s">
        <v>137</v>
      </c>
      <c r="C53" s="6" t="s">
        <v>153</v>
      </c>
      <c r="D53" s="6" t="s">
        <v>147</v>
      </c>
      <c r="E53" s="6">
        <v>3.3</v>
      </c>
      <c r="F53" s="6" t="s">
        <v>148</v>
      </c>
      <c r="G53" s="6" t="s">
        <v>149</v>
      </c>
      <c r="H53" s="40">
        <v>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1</v>
      </c>
      <c r="Q53" s="6">
        <v>2</v>
      </c>
      <c r="R53" s="6">
        <v>0</v>
      </c>
      <c r="S53" s="6">
        <v>0</v>
      </c>
      <c r="T53" s="71">
        <v>0</v>
      </c>
    </row>
    <row r="54" spans="1:20" x14ac:dyDescent="0.25">
      <c r="A54" s="50" t="s">
        <v>136</v>
      </c>
      <c r="B54" s="6" t="s">
        <v>154</v>
      </c>
      <c r="C54" s="6" t="s">
        <v>155</v>
      </c>
      <c r="D54" s="6" t="s">
        <v>156</v>
      </c>
      <c r="E54" s="6">
        <v>2.4</v>
      </c>
      <c r="F54" s="6" t="s">
        <v>148</v>
      </c>
      <c r="G54" s="6" t="s">
        <v>149</v>
      </c>
      <c r="H54" s="40">
        <v>15</v>
      </c>
      <c r="I54" s="6">
        <v>3</v>
      </c>
      <c r="J54" s="6">
        <v>2</v>
      </c>
      <c r="K54" s="6">
        <v>3</v>
      </c>
      <c r="L54" s="6">
        <v>2</v>
      </c>
      <c r="M54" s="6">
        <v>1</v>
      </c>
      <c r="N54" s="6">
        <v>1</v>
      </c>
      <c r="O54" s="6">
        <v>1</v>
      </c>
      <c r="P54" s="6">
        <v>2</v>
      </c>
      <c r="Q54" s="6">
        <v>0</v>
      </c>
      <c r="R54" s="6">
        <v>0</v>
      </c>
      <c r="S54" s="6">
        <v>0</v>
      </c>
      <c r="T54" s="71">
        <v>0</v>
      </c>
    </row>
    <row r="55" spans="1:20" x14ac:dyDescent="0.25">
      <c r="A55" s="50" t="s">
        <v>136</v>
      </c>
      <c r="B55" s="6" t="s">
        <v>154</v>
      </c>
      <c r="C55" s="6" t="s">
        <v>155</v>
      </c>
      <c r="D55" s="6" t="s">
        <v>144</v>
      </c>
      <c r="E55" s="6">
        <v>5</v>
      </c>
      <c r="F55" s="6" t="s">
        <v>145</v>
      </c>
      <c r="G55" s="6" t="s">
        <v>146</v>
      </c>
      <c r="H55" s="40">
        <v>9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3</v>
      </c>
      <c r="S55" s="6">
        <v>3</v>
      </c>
      <c r="T55" s="71">
        <v>3</v>
      </c>
    </row>
    <row r="56" spans="1:20" x14ac:dyDescent="0.25">
      <c r="A56" s="50" t="s">
        <v>136</v>
      </c>
      <c r="B56" s="6" t="s">
        <v>154</v>
      </c>
      <c r="C56" s="6" t="s">
        <v>155</v>
      </c>
      <c r="D56" s="6" t="s">
        <v>147</v>
      </c>
      <c r="E56" s="6">
        <v>3.3</v>
      </c>
      <c r="F56" s="6" t="s">
        <v>148</v>
      </c>
      <c r="G56" s="6" t="s">
        <v>149</v>
      </c>
      <c r="H56" s="40">
        <v>6</v>
      </c>
      <c r="I56" s="6">
        <v>0</v>
      </c>
      <c r="J56" s="6">
        <v>0</v>
      </c>
      <c r="K56" s="6">
        <v>0</v>
      </c>
      <c r="L56" s="6">
        <v>0</v>
      </c>
      <c r="M56" s="6">
        <v>2</v>
      </c>
      <c r="N56" s="6">
        <v>2</v>
      </c>
      <c r="O56" s="6">
        <v>2</v>
      </c>
      <c r="P56" s="6">
        <v>0</v>
      </c>
      <c r="Q56" s="6">
        <v>0</v>
      </c>
      <c r="R56" s="6">
        <v>0</v>
      </c>
      <c r="S56" s="6">
        <v>0</v>
      </c>
      <c r="T56" s="71">
        <v>0</v>
      </c>
    </row>
    <row r="57" spans="1:20" x14ac:dyDescent="0.25">
      <c r="A57" s="86" t="s">
        <v>162</v>
      </c>
      <c r="B57" s="87"/>
      <c r="C57" s="87"/>
      <c r="D57" s="87"/>
      <c r="E57" s="87"/>
      <c r="F57" s="87"/>
      <c r="G57" s="88"/>
      <c r="H57" s="89">
        <f>SUM(H50:H56)</f>
        <v>63</v>
      </c>
      <c r="I57" s="89">
        <v>6</v>
      </c>
      <c r="J57" s="89">
        <v>5</v>
      </c>
      <c r="K57" s="89">
        <v>6</v>
      </c>
      <c r="L57" s="89">
        <v>5</v>
      </c>
      <c r="M57" s="89">
        <v>7</v>
      </c>
      <c r="N57" s="89">
        <v>8</v>
      </c>
      <c r="O57" s="89">
        <v>8</v>
      </c>
      <c r="P57" s="89">
        <v>5</v>
      </c>
      <c r="Q57" s="89">
        <v>3</v>
      </c>
      <c r="R57" s="89">
        <v>4</v>
      </c>
      <c r="S57" s="89">
        <v>3</v>
      </c>
      <c r="T57" s="90">
        <v>3</v>
      </c>
    </row>
    <row r="58" spans="1:20" x14ac:dyDescent="0.25">
      <c r="A58" s="15"/>
      <c r="T58" s="16"/>
    </row>
    <row r="59" spans="1:20" x14ac:dyDescent="0.25">
      <c r="A59" s="15"/>
      <c r="T59" s="16"/>
    </row>
    <row r="60" spans="1:20" x14ac:dyDescent="0.25">
      <c r="A60" s="15"/>
      <c r="T60" s="16"/>
    </row>
    <row r="61" spans="1:20" ht="15.75" thickBot="1" x14ac:dyDescent="0.3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</row>
  </sheetData>
  <mergeCells count="12">
    <mergeCell ref="C40:F40"/>
    <mergeCell ref="C41:G41"/>
    <mergeCell ref="H41:S41"/>
    <mergeCell ref="A47:T47"/>
    <mergeCell ref="A57:G57"/>
    <mergeCell ref="B1:S2"/>
    <mergeCell ref="C17:F17"/>
    <mergeCell ref="C18:G18"/>
    <mergeCell ref="H18:S18"/>
    <mergeCell ref="C28:F28"/>
    <mergeCell ref="C29:G29"/>
    <mergeCell ref="H29:S2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Button 1">
              <controlPr defaultSize="0" print="0" autoFill="0" autoPict="0">
                <anchor moveWithCells="1" sizeWithCells="1">
                  <from>
                    <xdr:col>6</xdr:col>
                    <xdr:colOff>180975</xdr:colOff>
                    <xdr:row>8</xdr:row>
                    <xdr:rowOff>180975</xdr:rowOff>
                  </from>
                  <to>
                    <xdr:col>8</xdr:col>
                    <xdr:colOff>438150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Button 2">
              <controlPr defaultSize="0" print="0" autoFill="0" autoPict="0">
                <anchor moveWithCells="1" sizeWithCells="1">
                  <from>
                    <xdr:col>6</xdr:col>
                    <xdr:colOff>180975</xdr:colOff>
                    <xdr:row>19</xdr:row>
                    <xdr:rowOff>180975</xdr:rowOff>
                  </from>
                  <to>
                    <xdr:col>8</xdr:col>
                    <xdr:colOff>438150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Button 3">
              <controlPr defaultSize="0" print="0" autoFill="0" autoPict="0">
                <anchor moveWithCells="1" sizeWithCells="1">
                  <from>
                    <xdr:col>6</xdr:col>
                    <xdr:colOff>180975</xdr:colOff>
                    <xdr:row>30</xdr:row>
                    <xdr:rowOff>180975</xdr:rowOff>
                  </from>
                  <to>
                    <xdr:col>8</xdr:col>
                    <xdr:colOff>438150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Button 4">
              <controlPr defaultSize="0" print="0" autoFill="0" autoPict="0">
                <anchor moveWithCells="1" sizeWithCells="1">
                  <from>
                    <xdr:col>16</xdr:col>
                    <xdr:colOff>219075</xdr:colOff>
                    <xdr:row>42</xdr:row>
                    <xdr:rowOff>47625</xdr:rowOff>
                  </from>
                  <to>
                    <xdr:col>18</xdr:col>
                    <xdr:colOff>371475</xdr:colOff>
                    <xdr:row>43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Button 5">
              <controlPr defaultSize="0" print="0" autoFill="0" autoPict="0">
                <anchor moveWithCells="1" sizeWithCells="1">
                  <from>
                    <xdr:col>17</xdr:col>
                    <xdr:colOff>171450</xdr:colOff>
                    <xdr:row>58</xdr:row>
                    <xdr:rowOff>19050</xdr:rowOff>
                  </from>
                  <to>
                    <xdr:col>19</xdr:col>
                    <xdr:colOff>409575</xdr:colOff>
                    <xdr:row>59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4AA9-6118-4B9A-9630-85351EFFC083}">
  <dimension ref="B2:P42"/>
  <sheetViews>
    <sheetView workbookViewId="0">
      <selection activeCell="O8" sqref="O8"/>
    </sheetView>
  </sheetViews>
  <sheetFormatPr defaultRowHeight="15" x14ac:dyDescent="0.25"/>
  <cols>
    <col min="2" max="4" width="9.28515625" customWidth="1"/>
    <col min="5" max="6" width="11.42578125" bestFit="1" customWidth="1"/>
    <col min="7" max="7" width="8.28515625" bestFit="1" customWidth="1"/>
    <col min="8" max="8" width="13.85546875" bestFit="1" customWidth="1"/>
    <col min="9" max="9" width="13.140625" bestFit="1" customWidth="1"/>
    <col min="10" max="10" width="18.5703125" bestFit="1" customWidth="1"/>
    <col min="11" max="12" width="9.28515625" customWidth="1"/>
    <col min="13" max="13" width="10.5703125" customWidth="1"/>
  </cols>
  <sheetData>
    <row r="2" spans="2:16" ht="15.75" thickBot="1" x14ac:dyDescent="0.3">
      <c r="B2" s="11" t="s">
        <v>55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P2" t="s">
        <v>56</v>
      </c>
    </row>
    <row r="3" spans="2:16" x14ac:dyDescent="0.25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</row>
    <row r="4" spans="2:16" x14ac:dyDescent="0.25">
      <c r="B4" s="15"/>
      <c r="M4" s="16"/>
    </row>
    <row r="5" spans="2:16" x14ac:dyDescent="0.25">
      <c r="B5" s="15"/>
      <c r="D5" s="17"/>
      <c r="E5" s="18"/>
      <c r="F5" s="18"/>
      <c r="G5" s="18"/>
      <c r="H5" s="18"/>
      <c r="I5" s="18"/>
      <c r="J5" s="18"/>
      <c r="K5" s="19"/>
      <c r="M5" s="16"/>
    </row>
    <row r="6" spans="2:16" x14ac:dyDescent="0.25">
      <c r="B6" s="15"/>
      <c r="D6" s="20"/>
      <c r="J6" s="21" t="s">
        <v>57</v>
      </c>
      <c r="K6" s="22"/>
      <c r="M6" s="16"/>
    </row>
    <row r="7" spans="2:16" x14ac:dyDescent="0.25">
      <c r="B7" s="15"/>
      <c r="D7" s="20"/>
      <c r="J7" s="21"/>
      <c r="K7" s="22"/>
      <c r="M7" s="16"/>
    </row>
    <row r="8" spans="2:16" x14ac:dyDescent="0.25">
      <c r="B8" s="15"/>
      <c r="D8" s="20"/>
      <c r="K8" s="23"/>
      <c r="M8" s="16"/>
    </row>
    <row r="9" spans="2:16" x14ac:dyDescent="0.25">
      <c r="B9" s="15"/>
      <c r="D9" s="20"/>
      <c r="K9" s="23"/>
      <c r="M9" s="16"/>
    </row>
    <row r="10" spans="2:16" x14ac:dyDescent="0.25">
      <c r="B10" s="15"/>
      <c r="D10" s="20"/>
      <c r="K10" s="23"/>
      <c r="M10" s="16"/>
    </row>
    <row r="11" spans="2:16" x14ac:dyDescent="0.25">
      <c r="B11" s="15"/>
      <c r="D11" s="20"/>
      <c r="G11" s="24"/>
      <c r="J11" s="25" t="s">
        <v>8</v>
      </c>
      <c r="K11" s="23"/>
      <c r="M11" s="16"/>
    </row>
    <row r="12" spans="2:16" x14ac:dyDescent="0.25">
      <c r="B12" s="15"/>
      <c r="D12" s="20"/>
      <c r="G12" s="24"/>
      <c r="J12" s="26" t="s">
        <v>58</v>
      </c>
      <c r="K12" s="23"/>
      <c r="M12" s="16"/>
    </row>
    <row r="13" spans="2:16" x14ac:dyDescent="0.25">
      <c r="B13" s="15"/>
      <c r="D13" s="20"/>
      <c r="J13" s="26" t="s">
        <v>13</v>
      </c>
      <c r="K13" s="23"/>
      <c r="M13" s="16"/>
    </row>
    <row r="14" spans="2:16" x14ac:dyDescent="0.25">
      <c r="B14" s="15"/>
      <c r="D14" s="20"/>
      <c r="K14" s="23"/>
      <c r="M14" s="16"/>
    </row>
    <row r="15" spans="2:16" x14ac:dyDescent="0.25">
      <c r="B15" s="15"/>
      <c r="D15" s="20"/>
      <c r="K15" s="23"/>
      <c r="M15" s="16"/>
    </row>
    <row r="16" spans="2:16" x14ac:dyDescent="0.25">
      <c r="B16" s="15"/>
      <c r="D16" s="20"/>
      <c r="J16" s="27" t="s">
        <v>13</v>
      </c>
      <c r="K16" s="23"/>
      <c r="M16" s="16"/>
    </row>
    <row r="17" spans="2:13" x14ac:dyDescent="0.25">
      <c r="B17" s="15"/>
      <c r="D17" s="20"/>
      <c r="J17" s="28" t="s">
        <v>58</v>
      </c>
      <c r="K17" s="23"/>
      <c r="M17" s="16"/>
    </row>
    <row r="18" spans="2:13" x14ac:dyDescent="0.25">
      <c r="B18" s="15"/>
      <c r="D18" s="29"/>
      <c r="E18" s="30"/>
      <c r="F18" s="30"/>
      <c r="G18" s="30"/>
      <c r="H18" s="30"/>
      <c r="I18" s="30"/>
      <c r="J18" s="30"/>
      <c r="K18" s="31"/>
      <c r="M18" s="16"/>
    </row>
    <row r="19" spans="2:13" x14ac:dyDescent="0.25">
      <c r="B19" s="15"/>
      <c r="M19" s="16"/>
    </row>
    <row r="20" spans="2:13" x14ac:dyDescent="0.25">
      <c r="B20" s="15"/>
      <c r="D20" s="17"/>
      <c r="E20" s="18"/>
      <c r="F20" s="18"/>
      <c r="G20" s="18"/>
      <c r="H20" s="18"/>
      <c r="I20" s="18"/>
      <c r="J20" s="18"/>
      <c r="K20" s="19"/>
      <c r="M20" s="16"/>
    </row>
    <row r="21" spans="2:13" x14ac:dyDescent="0.25">
      <c r="B21" s="15"/>
      <c r="D21" s="20"/>
      <c r="J21" s="21" t="s">
        <v>57</v>
      </c>
      <c r="K21" s="22"/>
      <c r="M21" s="16"/>
    </row>
    <row r="22" spans="2:13" x14ac:dyDescent="0.25">
      <c r="B22" s="15"/>
      <c r="D22" s="20"/>
      <c r="J22" s="21"/>
      <c r="K22" s="22"/>
      <c r="M22" s="16"/>
    </row>
    <row r="23" spans="2:13" x14ac:dyDescent="0.25">
      <c r="B23" s="15"/>
      <c r="D23" s="20"/>
      <c r="K23" s="23"/>
      <c r="M23" s="16"/>
    </row>
    <row r="24" spans="2:13" x14ac:dyDescent="0.25">
      <c r="B24" s="15"/>
      <c r="D24" s="20"/>
      <c r="K24" s="23"/>
      <c r="M24" s="16"/>
    </row>
    <row r="25" spans="2:13" x14ac:dyDescent="0.25">
      <c r="B25" s="15"/>
      <c r="D25" s="20"/>
      <c r="K25" s="23"/>
      <c r="M25" s="16"/>
    </row>
    <row r="26" spans="2:13" x14ac:dyDescent="0.25">
      <c r="B26" s="15"/>
      <c r="D26" s="20"/>
      <c r="J26" s="32" t="s">
        <v>59</v>
      </c>
      <c r="K26" s="23"/>
      <c r="M26" s="16"/>
    </row>
    <row r="27" spans="2:13" x14ac:dyDescent="0.25">
      <c r="B27" s="15"/>
      <c r="D27" s="20"/>
      <c r="J27" t="s">
        <v>12</v>
      </c>
      <c r="K27" s="23"/>
      <c r="M27" s="16"/>
    </row>
    <row r="28" spans="2:13" x14ac:dyDescent="0.25">
      <c r="B28" s="15"/>
      <c r="D28" s="29"/>
      <c r="E28" s="30"/>
      <c r="F28" s="30"/>
      <c r="G28" s="30"/>
      <c r="H28" s="30"/>
      <c r="I28" s="30"/>
      <c r="J28" s="30"/>
      <c r="K28" s="31"/>
      <c r="M28" s="16"/>
    </row>
    <row r="29" spans="2:13" x14ac:dyDescent="0.25">
      <c r="B29" s="15"/>
      <c r="M29" s="16"/>
    </row>
    <row r="30" spans="2:13" x14ac:dyDescent="0.25">
      <c r="B30" s="15"/>
      <c r="M30" s="16"/>
    </row>
    <row r="31" spans="2:13" ht="15.75" thickBot="1" x14ac:dyDescent="0.3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5"/>
    </row>
    <row r="33" spans="2:13" ht="15.75" thickBot="1" x14ac:dyDescent="0.3">
      <c r="B33" s="1" t="s">
        <v>60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36"/>
      <c r="C34" s="36"/>
      <c r="D34" s="37"/>
      <c r="E34" s="38"/>
      <c r="F34" s="38"/>
      <c r="G34" s="38"/>
      <c r="H34" s="38"/>
      <c r="I34" s="38"/>
      <c r="J34" s="38"/>
      <c r="K34" s="39"/>
      <c r="L34" s="36"/>
      <c r="M34" s="36"/>
    </row>
    <row r="35" spans="2:13" x14ac:dyDescent="0.25">
      <c r="D35" s="15"/>
      <c r="F35" s="40" t="s">
        <v>61</v>
      </c>
      <c r="G35" s="40" t="s">
        <v>3</v>
      </c>
      <c r="H35" s="40" t="s">
        <v>62</v>
      </c>
      <c r="I35" s="40" t="s">
        <v>63</v>
      </c>
      <c r="K35" s="16"/>
    </row>
    <row r="36" spans="2:13" x14ac:dyDescent="0.25">
      <c r="D36" s="15"/>
      <c r="F36" s="6" t="s">
        <v>7</v>
      </c>
      <c r="G36" s="6" t="s">
        <v>8</v>
      </c>
      <c r="H36" s="6" t="s">
        <v>64</v>
      </c>
      <c r="I36" s="6">
        <v>15</v>
      </c>
      <c r="K36" s="16"/>
    </row>
    <row r="37" spans="2:13" x14ac:dyDescent="0.25">
      <c r="D37" s="15"/>
      <c r="F37" s="6" t="s">
        <v>7</v>
      </c>
      <c r="G37" s="6" t="s">
        <v>13</v>
      </c>
      <c r="H37" s="6" t="s">
        <v>65</v>
      </c>
      <c r="I37" s="6">
        <v>15</v>
      </c>
      <c r="K37" s="16"/>
    </row>
    <row r="38" spans="2:13" x14ac:dyDescent="0.25">
      <c r="D38" s="15"/>
      <c r="F38" s="6" t="s">
        <v>11</v>
      </c>
      <c r="G38" s="6" t="s">
        <v>59</v>
      </c>
      <c r="H38" s="6" t="s">
        <v>66</v>
      </c>
      <c r="I38" s="6">
        <v>10</v>
      </c>
      <c r="K38" s="16"/>
    </row>
    <row r="39" spans="2:13" x14ac:dyDescent="0.25">
      <c r="D39" s="15"/>
      <c r="H39" s="40" t="s">
        <v>67</v>
      </c>
      <c r="I39" s="40">
        <v>40</v>
      </c>
      <c r="K39" s="16"/>
    </row>
    <row r="40" spans="2:13" x14ac:dyDescent="0.25">
      <c r="D40" s="15"/>
      <c r="K40" s="16"/>
    </row>
    <row r="41" spans="2:13" x14ac:dyDescent="0.25">
      <c r="D41" s="15"/>
      <c r="K41" s="16"/>
    </row>
    <row r="42" spans="2:13" ht="15.75" thickBot="1" x14ac:dyDescent="0.3">
      <c r="D42" s="33"/>
      <c r="E42" s="34"/>
      <c r="F42" s="34"/>
      <c r="G42" s="34"/>
      <c r="H42" s="34"/>
      <c r="I42" s="34"/>
      <c r="J42" s="34"/>
      <c r="K42" s="35"/>
    </row>
  </sheetData>
  <mergeCells count="4">
    <mergeCell ref="B2:M2"/>
    <mergeCell ref="J6:J7"/>
    <mergeCell ref="J21:J22"/>
    <mergeCell ref="B33:M3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>
                <anchor moveWithCells="1" sizeWithCells="1">
                  <from>
                    <xdr:col>10</xdr:col>
                    <xdr:colOff>533400</xdr:colOff>
                    <xdr:row>28</xdr:row>
                    <xdr:rowOff>142875</xdr:rowOff>
                  </from>
                  <to>
                    <xdr:col>12</xdr:col>
                    <xdr:colOff>314325</xdr:colOff>
                    <xdr:row>30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>
                <anchor moveWithCells="1" sizeWithCells="1">
                  <from>
                    <xdr:col>9</xdr:col>
                    <xdr:colOff>209550</xdr:colOff>
                    <xdr:row>39</xdr:row>
                    <xdr:rowOff>95250</xdr:rowOff>
                  </from>
                  <to>
                    <xdr:col>9</xdr:col>
                    <xdr:colOff>1228725</xdr:colOff>
                    <xdr:row>41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59A0-A2AB-49CB-9EAB-B3271BF04947}">
  <dimension ref="A1:L15"/>
  <sheetViews>
    <sheetView workbookViewId="0">
      <selection activeCell="J13" sqref="J13"/>
    </sheetView>
  </sheetViews>
  <sheetFormatPr defaultRowHeight="15" x14ac:dyDescent="0.25"/>
  <cols>
    <col min="1" max="1" width="5.7109375" bestFit="1" customWidth="1"/>
    <col min="2" max="2" width="20.85546875" bestFit="1" customWidth="1"/>
    <col min="3" max="3" width="11.5703125" bestFit="1" customWidth="1"/>
    <col min="4" max="5" width="11.28515625" bestFit="1" customWidth="1"/>
    <col min="6" max="6" width="14" bestFit="1" customWidth="1"/>
    <col min="7" max="7" width="12.85546875" bestFit="1" customWidth="1"/>
    <col min="8" max="8" width="12.42578125" bestFit="1" customWidth="1"/>
    <col min="9" max="9" width="12.85546875" bestFit="1" customWidth="1"/>
    <col min="10" max="10" width="12.28515625" customWidth="1"/>
    <col min="11" max="11" width="12.7109375" bestFit="1" customWidth="1"/>
    <col min="12" max="12" width="7.5703125" bestFit="1" customWidth="1"/>
  </cols>
  <sheetData>
    <row r="1" spans="1:12" ht="20.25" customHeight="1" x14ac:dyDescent="0.2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1:12" ht="15.75" thickBot="1" x14ac:dyDescent="0.3"/>
    <row r="3" spans="1:12" ht="15.75" thickBot="1" x14ac:dyDescent="0.3">
      <c r="A3" s="42" t="s">
        <v>69</v>
      </c>
      <c r="B3" s="43" t="s">
        <v>70</v>
      </c>
      <c r="C3" s="43" t="s">
        <v>71</v>
      </c>
      <c r="D3" s="43" t="s">
        <v>72</v>
      </c>
      <c r="E3" s="43" t="s">
        <v>73</v>
      </c>
      <c r="F3" s="43" t="s">
        <v>62</v>
      </c>
      <c r="G3" s="43" t="s">
        <v>74</v>
      </c>
      <c r="H3" s="43" t="s">
        <v>75</v>
      </c>
      <c r="I3" s="43" t="s">
        <v>76</v>
      </c>
      <c r="J3" s="43" t="s">
        <v>77</v>
      </c>
      <c r="K3" s="43" t="s">
        <v>78</v>
      </c>
      <c r="L3" s="44" t="s">
        <v>79</v>
      </c>
    </row>
    <row r="4" spans="1:12" x14ac:dyDescent="0.25">
      <c r="A4" s="45">
        <v>1</v>
      </c>
      <c r="B4" s="46" t="s">
        <v>80</v>
      </c>
      <c r="C4" s="47">
        <v>46078</v>
      </c>
      <c r="D4" s="48">
        <v>46082</v>
      </c>
      <c r="E4" s="46" t="s">
        <v>8</v>
      </c>
      <c r="F4" s="46" t="s">
        <v>81</v>
      </c>
      <c r="G4" s="46" t="s">
        <v>82</v>
      </c>
      <c r="H4" s="46" t="s">
        <v>81</v>
      </c>
      <c r="I4" s="47">
        <v>46081</v>
      </c>
      <c r="J4" s="46" t="s">
        <v>81</v>
      </c>
      <c r="K4" s="47">
        <v>46081</v>
      </c>
      <c r="L4" s="49" t="s">
        <v>83</v>
      </c>
    </row>
    <row r="5" spans="1:12" x14ac:dyDescent="0.25">
      <c r="A5" s="50">
        <v>2</v>
      </c>
      <c r="B5" s="6" t="s">
        <v>80</v>
      </c>
      <c r="C5" s="51">
        <v>46079</v>
      </c>
      <c r="D5" s="52">
        <v>46082</v>
      </c>
      <c r="E5" s="6" t="s">
        <v>13</v>
      </c>
      <c r="F5" s="6" t="s">
        <v>84</v>
      </c>
      <c r="G5" s="6" t="s">
        <v>85</v>
      </c>
      <c r="H5" s="6" t="s">
        <v>84</v>
      </c>
      <c r="I5" s="51">
        <v>46080</v>
      </c>
      <c r="J5" s="6" t="s">
        <v>84</v>
      </c>
      <c r="K5" s="51">
        <v>46080</v>
      </c>
      <c r="L5" s="53" t="s">
        <v>83</v>
      </c>
    </row>
    <row r="6" spans="1:12" x14ac:dyDescent="0.25">
      <c r="A6" s="50">
        <v>2</v>
      </c>
      <c r="B6" s="6" t="s">
        <v>80</v>
      </c>
      <c r="C6" s="51">
        <v>46112</v>
      </c>
      <c r="D6" s="52">
        <v>46113</v>
      </c>
      <c r="E6" s="6" t="s">
        <v>8</v>
      </c>
      <c r="F6" s="6" t="s">
        <v>81</v>
      </c>
      <c r="G6" s="6" t="s">
        <v>86</v>
      </c>
      <c r="H6" s="6" t="s">
        <v>81</v>
      </c>
      <c r="I6" s="51">
        <v>46112</v>
      </c>
      <c r="J6" s="6"/>
      <c r="K6" s="6"/>
      <c r="L6" s="53" t="s">
        <v>83</v>
      </c>
    </row>
    <row r="7" spans="1:12" x14ac:dyDescent="0.25">
      <c r="A7" s="50">
        <v>3</v>
      </c>
      <c r="B7" s="6" t="s">
        <v>87</v>
      </c>
      <c r="C7" s="51">
        <v>46112</v>
      </c>
      <c r="D7" s="52">
        <v>46143</v>
      </c>
      <c r="E7" s="6" t="s">
        <v>59</v>
      </c>
      <c r="F7" s="6" t="s">
        <v>88</v>
      </c>
      <c r="G7" s="6" t="s">
        <v>89</v>
      </c>
      <c r="H7" s="6"/>
      <c r="I7" s="6"/>
      <c r="J7" s="6"/>
      <c r="K7" s="6"/>
      <c r="L7" s="54" t="s">
        <v>90</v>
      </c>
    </row>
    <row r="8" spans="1:12" ht="15.75" thickBot="1" x14ac:dyDescent="0.3">
      <c r="A8" s="55">
        <v>4</v>
      </c>
      <c r="B8" s="56" t="s">
        <v>87</v>
      </c>
      <c r="C8" s="57">
        <v>46112</v>
      </c>
      <c r="D8" s="58">
        <v>46143</v>
      </c>
      <c r="E8" s="56" t="s">
        <v>13</v>
      </c>
      <c r="F8" s="56" t="s">
        <v>84</v>
      </c>
      <c r="G8" s="56" t="s">
        <v>89</v>
      </c>
      <c r="H8" s="56"/>
      <c r="I8" s="56"/>
      <c r="J8" s="56"/>
      <c r="K8" s="56"/>
      <c r="L8" s="59" t="s">
        <v>90</v>
      </c>
    </row>
    <row r="12" spans="1:12" x14ac:dyDescent="0.25">
      <c r="E12" s="60" t="s">
        <v>91</v>
      </c>
      <c r="F12" s="60"/>
      <c r="G12" s="40" t="s">
        <v>92</v>
      </c>
    </row>
    <row r="13" spans="1:12" x14ac:dyDescent="0.25">
      <c r="E13" t="s">
        <v>93</v>
      </c>
      <c r="G13" s="17" t="s">
        <v>94</v>
      </c>
    </row>
    <row r="14" spans="1:12" x14ac:dyDescent="0.25">
      <c r="E14" t="s">
        <v>95</v>
      </c>
      <c r="G14" s="20" t="s">
        <v>96</v>
      </c>
    </row>
    <row r="15" spans="1:12" x14ac:dyDescent="0.25">
      <c r="E15" t="s">
        <v>97</v>
      </c>
      <c r="G15" s="20" t="s">
        <v>96</v>
      </c>
    </row>
  </sheetData>
  <mergeCells count="2">
    <mergeCell ref="B1:K1"/>
    <mergeCell ref="E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81EA-153E-44FD-9242-E4F71D2C246F}">
  <dimension ref="A1:O60"/>
  <sheetViews>
    <sheetView topLeftCell="D1" workbookViewId="0">
      <selection activeCell="K4" sqref="K4"/>
    </sheetView>
  </sheetViews>
  <sheetFormatPr defaultRowHeight="15" x14ac:dyDescent="0.25"/>
  <cols>
    <col min="1" max="1" width="7.28515625" bestFit="1" customWidth="1"/>
    <col min="2" max="2" width="16" bestFit="1" customWidth="1"/>
    <col min="3" max="3" width="10.140625" bestFit="1" customWidth="1"/>
    <col min="4" max="4" width="16.5703125" bestFit="1" customWidth="1"/>
    <col min="5" max="5" width="13.42578125" bestFit="1" customWidth="1"/>
    <col min="6" max="6" width="17.42578125" bestFit="1" customWidth="1"/>
    <col min="7" max="7" width="12.85546875" bestFit="1" customWidth="1"/>
    <col min="8" max="8" width="9.5703125" bestFit="1" customWidth="1"/>
    <col min="9" max="9" width="17.5703125" bestFit="1" customWidth="1"/>
    <col min="10" max="10" width="14.7109375" bestFit="1" customWidth="1"/>
    <col min="11" max="11" width="16" bestFit="1" customWidth="1"/>
    <col min="12" max="12" width="12.7109375" bestFit="1" customWidth="1"/>
    <col min="13" max="13" width="13.85546875" bestFit="1" customWidth="1"/>
    <col min="14" max="14" width="13.85546875" customWidth="1"/>
    <col min="15" max="15" width="13.28515625" bestFit="1" customWidth="1"/>
  </cols>
  <sheetData>
    <row r="1" spans="1:15" x14ac:dyDescent="0.25">
      <c r="A1" s="1" t="s">
        <v>0</v>
      </c>
      <c r="B1" s="1"/>
      <c r="C1" s="1"/>
      <c r="D1" s="1"/>
      <c r="E1" s="1"/>
    </row>
    <row r="2" spans="1:15" ht="30" x14ac:dyDescent="0.2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</row>
    <row r="3" spans="1:15" x14ac:dyDescent="0.25">
      <c r="A3" s="6">
        <v>1</v>
      </c>
      <c r="B3" s="6" t="s">
        <v>7</v>
      </c>
      <c r="C3" s="6" t="s">
        <v>8</v>
      </c>
      <c r="D3" s="6">
        <v>2</v>
      </c>
      <c r="E3" s="6">
        <v>3</v>
      </c>
      <c r="F3" s="6">
        <v>2</v>
      </c>
    </row>
    <row r="4" spans="1:15" x14ac:dyDescent="0.25">
      <c r="A4" s="6">
        <v>2</v>
      </c>
      <c r="B4" s="6" t="s">
        <v>9</v>
      </c>
      <c r="C4" s="6" t="s">
        <v>10</v>
      </c>
      <c r="D4" s="6">
        <v>3</v>
      </c>
      <c r="E4" s="6">
        <v>3</v>
      </c>
      <c r="F4" s="6">
        <v>3</v>
      </c>
    </row>
    <row r="5" spans="1:15" x14ac:dyDescent="0.25">
      <c r="A5" s="6">
        <v>3</v>
      </c>
      <c r="B5" s="6" t="s">
        <v>11</v>
      </c>
      <c r="C5" s="6" t="s">
        <v>12</v>
      </c>
      <c r="D5" s="6">
        <v>1</v>
      </c>
      <c r="E5" s="6">
        <v>1</v>
      </c>
      <c r="F5" s="6">
        <v>1</v>
      </c>
    </row>
    <row r="6" spans="1:15" x14ac:dyDescent="0.25">
      <c r="A6" s="7">
        <v>4</v>
      </c>
      <c r="B6" s="7" t="s">
        <v>7</v>
      </c>
      <c r="C6" s="7" t="s">
        <v>13</v>
      </c>
      <c r="D6" s="7">
        <v>2</v>
      </c>
      <c r="E6" s="7">
        <v>3</v>
      </c>
      <c r="F6" s="7">
        <v>2</v>
      </c>
    </row>
    <row r="8" spans="1:15" x14ac:dyDescent="0.25">
      <c r="I8" s="8" t="s">
        <v>54</v>
      </c>
    </row>
    <row r="10" spans="1:15" x14ac:dyDescent="0.25"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  <c r="L10" s="8" t="s">
        <v>21</v>
      </c>
      <c r="M10" s="8" t="s">
        <v>22</v>
      </c>
      <c r="N10" s="10" t="s">
        <v>53</v>
      </c>
      <c r="O10" s="8" t="s">
        <v>23</v>
      </c>
    </row>
    <row r="11" spans="1:15" x14ac:dyDescent="0.25">
      <c r="E11">
        <v>1</v>
      </c>
      <c r="F11" t="s">
        <v>24</v>
      </c>
      <c r="G11" t="s">
        <v>25</v>
      </c>
      <c r="H11" t="s">
        <v>26</v>
      </c>
      <c r="I11" s="9">
        <v>46086</v>
      </c>
      <c r="J11" s="9">
        <v>46082</v>
      </c>
      <c r="K11" s="9">
        <v>46083</v>
      </c>
      <c r="L11" s="9">
        <v>46082</v>
      </c>
      <c r="M11" s="9">
        <v>46083</v>
      </c>
      <c r="N11" s="9">
        <v>46084</v>
      </c>
      <c r="O11" t="s">
        <v>27</v>
      </c>
    </row>
    <row r="12" spans="1:15" x14ac:dyDescent="0.25">
      <c r="E12">
        <v>2</v>
      </c>
      <c r="F12" t="s">
        <v>28</v>
      </c>
      <c r="G12" t="s">
        <v>25</v>
      </c>
      <c r="H12" t="s">
        <v>26</v>
      </c>
      <c r="I12" s="9">
        <v>46086</v>
      </c>
      <c r="J12" s="9">
        <v>46082</v>
      </c>
      <c r="K12" s="9">
        <v>46083</v>
      </c>
      <c r="L12" s="9">
        <v>46082</v>
      </c>
      <c r="M12" s="9">
        <v>46083</v>
      </c>
      <c r="N12" s="9">
        <v>46084</v>
      </c>
      <c r="O12" t="s">
        <v>27</v>
      </c>
    </row>
    <row r="13" spans="1:15" x14ac:dyDescent="0.25">
      <c r="E13">
        <v>3</v>
      </c>
      <c r="F13" t="s">
        <v>29</v>
      </c>
      <c r="G13" t="s">
        <v>25</v>
      </c>
      <c r="H13" t="s">
        <v>26</v>
      </c>
      <c r="I13" s="9">
        <v>46086</v>
      </c>
      <c r="J13" s="9">
        <v>46082</v>
      </c>
      <c r="K13" s="9">
        <v>46083</v>
      </c>
      <c r="L13" s="9">
        <v>46082</v>
      </c>
      <c r="M13" s="9">
        <v>46083</v>
      </c>
      <c r="N13" s="9">
        <v>46084</v>
      </c>
      <c r="O13" t="s">
        <v>27</v>
      </c>
    </row>
    <row r="14" spans="1:15" x14ac:dyDescent="0.25">
      <c r="E14">
        <v>4</v>
      </c>
      <c r="F14" t="s">
        <v>30</v>
      </c>
      <c r="G14" t="s">
        <v>25</v>
      </c>
      <c r="H14" t="s">
        <v>26</v>
      </c>
      <c r="I14" s="9">
        <v>46088</v>
      </c>
      <c r="J14" s="9">
        <v>46084</v>
      </c>
      <c r="K14" s="9">
        <v>46085</v>
      </c>
      <c r="L14" s="9">
        <v>46084</v>
      </c>
      <c r="M14" s="9">
        <v>46085</v>
      </c>
      <c r="N14" s="9">
        <v>46086</v>
      </c>
      <c r="O14" t="s">
        <v>27</v>
      </c>
    </row>
    <row r="15" spans="1:15" x14ac:dyDescent="0.25">
      <c r="E15">
        <v>5</v>
      </c>
      <c r="F15" t="s">
        <v>31</v>
      </c>
      <c r="G15" t="s">
        <v>25</v>
      </c>
      <c r="H15" t="s">
        <v>26</v>
      </c>
      <c r="I15" s="9">
        <v>46088</v>
      </c>
      <c r="J15" s="9">
        <v>46084</v>
      </c>
      <c r="K15" s="9">
        <v>46085</v>
      </c>
      <c r="L15" s="9">
        <v>46084</v>
      </c>
      <c r="M15" s="9">
        <v>46085</v>
      </c>
      <c r="N15" s="9">
        <v>46086</v>
      </c>
      <c r="O15" t="s">
        <v>27</v>
      </c>
    </row>
    <row r="16" spans="1:15" x14ac:dyDescent="0.25">
      <c r="E16">
        <v>6</v>
      </c>
      <c r="F16" t="s">
        <v>32</v>
      </c>
      <c r="G16" t="s">
        <v>25</v>
      </c>
      <c r="J16" s="9">
        <v>46084</v>
      </c>
      <c r="K16" s="9">
        <v>46085</v>
      </c>
      <c r="L16" s="9">
        <v>46084</v>
      </c>
      <c r="M16" s="9">
        <v>46085</v>
      </c>
      <c r="N16" s="9">
        <v>46085</v>
      </c>
      <c r="O16" t="s">
        <v>33</v>
      </c>
    </row>
    <row r="17" spans="5:15" x14ac:dyDescent="0.25">
      <c r="E17">
        <v>7</v>
      </c>
      <c r="F17" t="s">
        <v>34</v>
      </c>
      <c r="G17" t="s">
        <v>25</v>
      </c>
      <c r="J17" s="9">
        <v>46086</v>
      </c>
      <c r="K17" s="9">
        <v>46087</v>
      </c>
      <c r="L17" s="9">
        <v>46086</v>
      </c>
      <c r="M17" s="9">
        <v>46087</v>
      </c>
      <c r="N17" s="9"/>
      <c r="O17" t="s">
        <v>33</v>
      </c>
    </row>
    <row r="18" spans="5:15" x14ac:dyDescent="0.25">
      <c r="E18">
        <v>8</v>
      </c>
      <c r="F18" t="s">
        <v>35</v>
      </c>
      <c r="G18" t="s">
        <v>25</v>
      </c>
      <c r="J18" s="9">
        <v>46086</v>
      </c>
      <c r="K18" s="9">
        <v>46087</v>
      </c>
      <c r="L18" s="9">
        <v>46086</v>
      </c>
      <c r="M18" s="9">
        <v>46087</v>
      </c>
      <c r="N18" s="9"/>
      <c r="O18" t="s">
        <v>33</v>
      </c>
    </row>
    <row r="19" spans="5:15" x14ac:dyDescent="0.25">
      <c r="E19">
        <v>9</v>
      </c>
      <c r="F19" t="s">
        <v>36</v>
      </c>
      <c r="G19" t="s">
        <v>25</v>
      </c>
      <c r="J19" s="9">
        <v>46086</v>
      </c>
      <c r="K19" s="9">
        <v>46087</v>
      </c>
      <c r="L19" s="9">
        <v>46086</v>
      </c>
      <c r="M19" s="9">
        <v>46087</v>
      </c>
      <c r="N19" s="9"/>
      <c r="O19" t="s">
        <v>33</v>
      </c>
    </row>
    <row r="20" spans="5:15" x14ac:dyDescent="0.25">
      <c r="E20">
        <v>10</v>
      </c>
      <c r="G20" t="s">
        <v>25</v>
      </c>
      <c r="J20" s="9">
        <v>46088</v>
      </c>
      <c r="K20" s="9">
        <v>46089</v>
      </c>
      <c r="N20" s="9">
        <v>46085</v>
      </c>
      <c r="O20" t="s">
        <v>37</v>
      </c>
    </row>
    <row r="21" spans="5:15" x14ac:dyDescent="0.25">
      <c r="E21">
        <v>11</v>
      </c>
      <c r="G21" t="s">
        <v>25</v>
      </c>
      <c r="J21" s="9">
        <v>46088</v>
      </c>
      <c r="K21" s="9">
        <v>46089</v>
      </c>
      <c r="N21" s="9">
        <v>46085</v>
      </c>
      <c r="O21" t="s">
        <v>37</v>
      </c>
    </row>
    <row r="22" spans="5:15" x14ac:dyDescent="0.25">
      <c r="E22">
        <v>12</v>
      </c>
      <c r="G22" t="s">
        <v>25</v>
      </c>
      <c r="J22" s="9">
        <v>46088</v>
      </c>
      <c r="K22" s="9">
        <v>46089</v>
      </c>
      <c r="N22" s="9">
        <v>46085</v>
      </c>
      <c r="O22" t="s">
        <v>37</v>
      </c>
    </row>
    <row r="23" spans="5:15" x14ac:dyDescent="0.25">
      <c r="E23">
        <v>13</v>
      </c>
      <c r="F23" t="s">
        <v>38</v>
      </c>
      <c r="G23" t="s">
        <v>25</v>
      </c>
      <c r="H23" t="s">
        <v>26</v>
      </c>
      <c r="I23" s="9">
        <v>46086</v>
      </c>
      <c r="J23" s="9">
        <v>46082</v>
      </c>
      <c r="K23" s="9">
        <v>46083</v>
      </c>
      <c r="L23" s="9">
        <v>46082</v>
      </c>
      <c r="M23" s="9">
        <v>46083</v>
      </c>
      <c r="N23" s="9"/>
      <c r="O23" t="s">
        <v>27</v>
      </c>
    </row>
    <row r="24" spans="5:15" x14ac:dyDescent="0.25">
      <c r="E24">
        <v>14</v>
      </c>
      <c r="F24" t="s">
        <v>39</v>
      </c>
      <c r="G24" t="s">
        <v>25</v>
      </c>
      <c r="H24" t="s">
        <v>26</v>
      </c>
      <c r="I24" s="9">
        <v>46086</v>
      </c>
      <c r="J24" s="9">
        <v>46082</v>
      </c>
      <c r="K24" s="9">
        <v>46083</v>
      </c>
      <c r="L24" s="9">
        <v>46082</v>
      </c>
      <c r="M24" s="9">
        <v>46083</v>
      </c>
      <c r="N24" s="9"/>
      <c r="O24" t="s">
        <v>27</v>
      </c>
    </row>
    <row r="25" spans="5:15" x14ac:dyDescent="0.25">
      <c r="E25">
        <v>15</v>
      </c>
      <c r="F25" t="s">
        <v>40</v>
      </c>
      <c r="G25" t="s">
        <v>25</v>
      </c>
      <c r="H25" t="s">
        <v>26</v>
      </c>
      <c r="I25" s="9">
        <v>46086</v>
      </c>
      <c r="J25" s="9">
        <v>46082</v>
      </c>
      <c r="K25" s="9">
        <v>46083</v>
      </c>
      <c r="L25" s="9">
        <v>46082</v>
      </c>
      <c r="M25" s="9">
        <v>46083</v>
      </c>
      <c r="N25" s="9">
        <v>46083</v>
      </c>
      <c r="O25" t="s">
        <v>27</v>
      </c>
    </row>
    <row r="26" spans="5:15" x14ac:dyDescent="0.25">
      <c r="E26">
        <v>16</v>
      </c>
      <c r="F26" t="s">
        <v>41</v>
      </c>
      <c r="G26" t="s">
        <v>25</v>
      </c>
      <c r="J26" s="9">
        <v>46084</v>
      </c>
      <c r="K26" s="9">
        <v>46085</v>
      </c>
      <c r="L26" s="9">
        <v>46084</v>
      </c>
      <c r="M26" s="9">
        <v>46085</v>
      </c>
      <c r="N26" s="9"/>
      <c r="O26" t="s">
        <v>33</v>
      </c>
    </row>
    <row r="27" spans="5:15" x14ac:dyDescent="0.25">
      <c r="E27">
        <v>17</v>
      </c>
      <c r="F27" t="s">
        <v>42</v>
      </c>
      <c r="G27" t="s">
        <v>25</v>
      </c>
      <c r="J27" s="9">
        <v>46084</v>
      </c>
      <c r="K27" s="9">
        <v>46085</v>
      </c>
      <c r="L27" s="9">
        <v>46084</v>
      </c>
      <c r="M27" s="9">
        <v>46085</v>
      </c>
      <c r="N27" s="9"/>
      <c r="O27" t="s">
        <v>33</v>
      </c>
    </row>
    <row r="28" spans="5:15" x14ac:dyDescent="0.25">
      <c r="E28">
        <v>18</v>
      </c>
      <c r="F28" t="s">
        <v>43</v>
      </c>
      <c r="G28" t="s">
        <v>25</v>
      </c>
      <c r="J28" s="9">
        <v>46084</v>
      </c>
      <c r="K28" s="9">
        <v>46085</v>
      </c>
      <c r="L28" s="9">
        <v>46084</v>
      </c>
      <c r="M28" s="9">
        <v>46085</v>
      </c>
      <c r="N28" s="9"/>
      <c r="O28" t="s">
        <v>33</v>
      </c>
    </row>
    <row r="29" spans="5:15" x14ac:dyDescent="0.25">
      <c r="E29">
        <v>19</v>
      </c>
      <c r="F29" t="s">
        <v>44</v>
      </c>
      <c r="G29" t="s">
        <v>25</v>
      </c>
      <c r="J29" s="9">
        <v>46086</v>
      </c>
      <c r="K29" s="9">
        <v>46087</v>
      </c>
      <c r="L29" s="9">
        <v>46086</v>
      </c>
      <c r="M29" s="9">
        <v>46087</v>
      </c>
      <c r="N29" s="9"/>
      <c r="O29" t="s">
        <v>33</v>
      </c>
    </row>
    <row r="30" spans="5:15" x14ac:dyDescent="0.25">
      <c r="E30">
        <v>20</v>
      </c>
      <c r="F30" t="s">
        <v>45</v>
      </c>
      <c r="G30" t="s">
        <v>25</v>
      </c>
      <c r="J30" s="9">
        <v>46086</v>
      </c>
      <c r="K30" s="9">
        <v>46087</v>
      </c>
      <c r="L30" s="9">
        <v>46086</v>
      </c>
      <c r="M30" s="9">
        <v>46087</v>
      </c>
      <c r="N30" s="9"/>
      <c r="O30" t="s">
        <v>33</v>
      </c>
    </row>
    <row r="31" spans="5:15" x14ac:dyDescent="0.25">
      <c r="E31">
        <v>21</v>
      </c>
      <c r="G31" t="s">
        <v>25</v>
      </c>
      <c r="J31" s="9">
        <v>46086</v>
      </c>
      <c r="K31" s="9">
        <v>46087</v>
      </c>
      <c r="O31" t="s">
        <v>37</v>
      </c>
    </row>
    <row r="32" spans="5:15" x14ac:dyDescent="0.25">
      <c r="E32">
        <v>22</v>
      </c>
      <c r="G32" t="s">
        <v>25</v>
      </c>
      <c r="J32" s="9">
        <v>46088</v>
      </c>
      <c r="K32" s="9">
        <v>46089</v>
      </c>
      <c r="O32" t="s">
        <v>37</v>
      </c>
    </row>
    <row r="33" spans="5:15" x14ac:dyDescent="0.25">
      <c r="E33">
        <v>23</v>
      </c>
      <c r="G33" t="s">
        <v>25</v>
      </c>
      <c r="J33" s="9">
        <v>46088</v>
      </c>
      <c r="K33" s="9">
        <v>46089</v>
      </c>
      <c r="O33" t="s">
        <v>37</v>
      </c>
    </row>
    <row r="34" spans="5:15" x14ac:dyDescent="0.25">
      <c r="E34">
        <v>24</v>
      </c>
      <c r="G34" t="s">
        <v>25</v>
      </c>
      <c r="J34" s="9">
        <v>46088</v>
      </c>
      <c r="K34" s="9">
        <v>46089</v>
      </c>
      <c r="O34" t="s">
        <v>37</v>
      </c>
    </row>
    <row r="35" spans="5:15" x14ac:dyDescent="0.25">
      <c r="E35">
        <v>25</v>
      </c>
      <c r="G35" t="s">
        <v>25</v>
      </c>
      <c r="J35" s="9">
        <v>46090</v>
      </c>
      <c r="K35" s="9">
        <v>46091</v>
      </c>
      <c r="O35" t="s">
        <v>37</v>
      </c>
    </row>
    <row r="36" spans="5:15" x14ac:dyDescent="0.25">
      <c r="E36">
        <v>26</v>
      </c>
      <c r="G36" t="s">
        <v>25</v>
      </c>
      <c r="J36" s="9">
        <v>46090</v>
      </c>
      <c r="K36" s="9">
        <v>46091</v>
      </c>
      <c r="O36" t="s">
        <v>37</v>
      </c>
    </row>
    <row r="37" spans="5:15" x14ac:dyDescent="0.25">
      <c r="E37">
        <v>27</v>
      </c>
      <c r="G37" t="s">
        <v>25</v>
      </c>
      <c r="J37" s="9">
        <v>46090</v>
      </c>
      <c r="K37" s="9">
        <v>46091</v>
      </c>
      <c r="O37" t="s">
        <v>37</v>
      </c>
    </row>
    <row r="38" spans="5:15" x14ac:dyDescent="0.25">
      <c r="E38">
        <v>28</v>
      </c>
      <c r="F38" t="s">
        <v>46</v>
      </c>
      <c r="G38" t="s">
        <v>25</v>
      </c>
      <c r="H38" t="s">
        <v>26</v>
      </c>
      <c r="I38" s="9">
        <v>46087</v>
      </c>
      <c r="J38" s="9">
        <v>46082</v>
      </c>
      <c r="K38" s="9">
        <v>46084</v>
      </c>
      <c r="L38" s="9">
        <v>46082</v>
      </c>
      <c r="M38" s="9">
        <v>46084</v>
      </c>
      <c r="N38" s="9"/>
      <c r="O38" t="s">
        <v>27</v>
      </c>
    </row>
    <row r="39" spans="5:15" x14ac:dyDescent="0.25">
      <c r="E39">
        <v>29</v>
      </c>
      <c r="F39" t="s">
        <v>47</v>
      </c>
      <c r="G39" t="s">
        <v>25</v>
      </c>
      <c r="H39" t="s">
        <v>26</v>
      </c>
      <c r="I39" s="9">
        <v>46087</v>
      </c>
      <c r="J39" s="9">
        <v>46082</v>
      </c>
      <c r="K39" s="9">
        <v>46084</v>
      </c>
      <c r="L39" s="9">
        <v>46082</v>
      </c>
      <c r="M39" s="9">
        <v>46084</v>
      </c>
      <c r="N39" s="9"/>
      <c r="O39" t="s">
        <v>27</v>
      </c>
    </row>
    <row r="40" spans="5:15" x14ac:dyDescent="0.25">
      <c r="E40">
        <v>30</v>
      </c>
      <c r="F40" t="s">
        <v>48</v>
      </c>
      <c r="G40" t="s">
        <v>25</v>
      </c>
      <c r="H40" t="s">
        <v>26</v>
      </c>
      <c r="I40" s="9">
        <v>46088</v>
      </c>
      <c r="J40" s="9">
        <v>46082</v>
      </c>
      <c r="K40" s="9">
        <v>46084</v>
      </c>
      <c r="L40" s="9">
        <v>46082</v>
      </c>
      <c r="M40" s="9">
        <v>46084</v>
      </c>
      <c r="N40" s="9"/>
      <c r="O40" t="s">
        <v>27</v>
      </c>
    </row>
    <row r="41" spans="5:15" x14ac:dyDescent="0.25">
      <c r="E41">
        <v>31</v>
      </c>
      <c r="F41" t="s">
        <v>49</v>
      </c>
      <c r="G41" t="s">
        <v>25</v>
      </c>
      <c r="J41" s="9">
        <v>46083</v>
      </c>
      <c r="K41" s="9">
        <v>46085</v>
      </c>
      <c r="L41" s="9">
        <v>46083</v>
      </c>
      <c r="M41" s="9">
        <v>46085</v>
      </c>
      <c r="N41" s="9"/>
      <c r="O41" t="s">
        <v>27</v>
      </c>
    </row>
    <row r="42" spans="5:15" x14ac:dyDescent="0.25">
      <c r="E42">
        <v>32</v>
      </c>
      <c r="F42" t="s">
        <v>50</v>
      </c>
      <c r="G42" t="s">
        <v>25</v>
      </c>
      <c r="J42" s="9">
        <v>46083</v>
      </c>
      <c r="K42" s="9">
        <v>46085</v>
      </c>
      <c r="L42" s="9">
        <v>46083</v>
      </c>
      <c r="M42" s="9">
        <v>46085</v>
      </c>
      <c r="N42" s="9"/>
      <c r="O42" t="s">
        <v>27</v>
      </c>
    </row>
    <row r="43" spans="5:15" x14ac:dyDescent="0.25">
      <c r="E43">
        <v>33</v>
      </c>
      <c r="G43" t="s">
        <v>25</v>
      </c>
      <c r="J43" s="9">
        <v>46083</v>
      </c>
      <c r="K43" s="9">
        <v>46085</v>
      </c>
      <c r="O43" t="s">
        <v>37</v>
      </c>
    </row>
    <row r="44" spans="5:15" x14ac:dyDescent="0.25">
      <c r="E44">
        <v>34</v>
      </c>
      <c r="G44" t="s">
        <v>25</v>
      </c>
      <c r="J44" s="9">
        <v>46086</v>
      </c>
      <c r="K44" s="9">
        <v>46088</v>
      </c>
      <c r="O44" t="s">
        <v>37</v>
      </c>
    </row>
    <row r="45" spans="5:15" x14ac:dyDescent="0.25">
      <c r="E45">
        <v>35</v>
      </c>
      <c r="G45" t="s">
        <v>25</v>
      </c>
      <c r="J45" s="9">
        <v>46086</v>
      </c>
      <c r="K45" s="9">
        <v>46088</v>
      </c>
      <c r="O45" t="s">
        <v>37</v>
      </c>
    </row>
    <row r="46" spans="5:15" x14ac:dyDescent="0.25">
      <c r="E46">
        <v>36</v>
      </c>
      <c r="G46" t="s">
        <v>25</v>
      </c>
      <c r="J46" s="9">
        <v>46086</v>
      </c>
      <c r="K46" s="9">
        <v>46088</v>
      </c>
      <c r="O46" t="s">
        <v>37</v>
      </c>
    </row>
    <row r="47" spans="5:15" x14ac:dyDescent="0.25">
      <c r="E47">
        <v>37</v>
      </c>
      <c r="G47" t="s">
        <v>25</v>
      </c>
      <c r="J47" s="9">
        <v>46089</v>
      </c>
      <c r="K47" s="9">
        <v>46091</v>
      </c>
      <c r="O47" t="s">
        <v>37</v>
      </c>
    </row>
    <row r="48" spans="5:15" x14ac:dyDescent="0.25">
      <c r="E48">
        <v>38</v>
      </c>
      <c r="G48" t="s">
        <v>25</v>
      </c>
      <c r="J48" s="9">
        <v>46089</v>
      </c>
      <c r="K48" s="9">
        <v>46091</v>
      </c>
      <c r="O48" t="s">
        <v>37</v>
      </c>
    </row>
    <row r="49" spans="5:15" x14ac:dyDescent="0.25">
      <c r="E49">
        <v>39</v>
      </c>
      <c r="G49" t="s">
        <v>25</v>
      </c>
      <c r="J49" s="9">
        <v>46089</v>
      </c>
      <c r="K49" s="9">
        <v>46091</v>
      </c>
      <c r="O49" t="s">
        <v>37</v>
      </c>
    </row>
    <row r="50" spans="5:15" x14ac:dyDescent="0.25">
      <c r="E50">
        <v>40</v>
      </c>
      <c r="G50" t="s">
        <v>25</v>
      </c>
      <c r="J50" s="9">
        <v>46092</v>
      </c>
      <c r="K50" s="9">
        <v>46094</v>
      </c>
      <c r="O50" t="s">
        <v>37</v>
      </c>
    </row>
    <row r="51" spans="5:15" x14ac:dyDescent="0.25">
      <c r="E51">
        <v>41</v>
      </c>
      <c r="G51" t="s">
        <v>25</v>
      </c>
      <c r="J51" s="9">
        <v>46092</v>
      </c>
      <c r="K51" s="9">
        <v>46094</v>
      </c>
      <c r="O51" t="s">
        <v>37</v>
      </c>
    </row>
    <row r="52" spans="5:15" x14ac:dyDescent="0.25">
      <c r="E52">
        <v>42</v>
      </c>
      <c r="F52" t="s">
        <v>51</v>
      </c>
      <c r="G52" t="s">
        <v>25</v>
      </c>
      <c r="H52" t="s">
        <v>26</v>
      </c>
      <c r="I52" s="9">
        <v>46084</v>
      </c>
      <c r="J52" s="9">
        <v>46082</v>
      </c>
      <c r="K52" s="9">
        <v>46082</v>
      </c>
      <c r="L52" s="9">
        <v>46082</v>
      </c>
      <c r="M52" s="9">
        <v>46082</v>
      </c>
      <c r="N52" s="9"/>
      <c r="O52" t="s">
        <v>27</v>
      </c>
    </row>
    <row r="53" spans="5:15" x14ac:dyDescent="0.25">
      <c r="E53">
        <v>43</v>
      </c>
      <c r="F53" t="s">
        <v>52</v>
      </c>
      <c r="G53" t="s">
        <v>25</v>
      </c>
      <c r="J53" s="9">
        <v>46083</v>
      </c>
      <c r="K53" s="9">
        <v>46083</v>
      </c>
      <c r="L53" s="9">
        <v>46083</v>
      </c>
      <c r="M53" s="9">
        <v>46083</v>
      </c>
      <c r="N53" s="9"/>
      <c r="O53" t="s">
        <v>27</v>
      </c>
    </row>
    <row r="54" spans="5:15" x14ac:dyDescent="0.25">
      <c r="E54">
        <v>44</v>
      </c>
      <c r="G54" t="s">
        <v>25</v>
      </c>
      <c r="J54" s="9">
        <v>46084</v>
      </c>
      <c r="K54" s="9">
        <v>46084</v>
      </c>
      <c r="O54" t="s">
        <v>37</v>
      </c>
    </row>
    <row r="55" spans="5:15" x14ac:dyDescent="0.25">
      <c r="E55">
        <v>45</v>
      </c>
      <c r="G55" t="s">
        <v>25</v>
      </c>
      <c r="J55" s="9">
        <v>46085</v>
      </c>
      <c r="K55" s="9">
        <v>46085</v>
      </c>
      <c r="O55" t="s">
        <v>37</v>
      </c>
    </row>
    <row r="56" spans="5:15" x14ac:dyDescent="0.25">
      <c r="E56">
        <v>46</v>
      </c>
      <c r="G56" t="s">
        <v>25</v>
      </c>
      <c r="J56" s="9">
        <v>46086</v>
      </c>
      <c r="K56" s="9">
        <v>46086</v>
      </c>
      <c r="O56" t="s">
        <v>37</v>
      </c>
    </row>
    <row r="57" spans="5:15" x14ac:dyDescent="0.25">
      <c r="E57">
        <v>47</v>
      </c>
      <c r="G57" t="s">
        <v>25</v>
      </c>
      <c r="J57" s="9">
        <v>46087</v>
      </c>
      <c r="K57" s="9">
        <v>46087</v>
      </c>
      <c r="O57" t="s">
        <v>37</v>
      </c>
    </row>
    <row r="58" spans="5:15" x14ac:dyDescent="0.25">
      <c r="E58">
        <v>48</v>
      </c>
      <c r="G58" t="s">
        <v>25</v>
      </c>
      <c r="J58" s="9">
        <v>46088</v>
      </c>
      <c r="K58" s="9">
        <v>46088</v>
      </c>
      <c r="O58" t="s">
        <v>37</v>
      </c>
    </row>
    <row r="59" spans="5:15" x14ac:dyDescent="0.25">
      <c r="E59">
        <v>49</v>
      </c>
      <c r="G59" t="s">
        <v>25</v>
      </c>
      <c r="J59" s="9">
        <v>46089</v>
      </c>
      <c r="K59" s="9">
        <v>46089</v>
      </c>
      <c r="O59" t="s">
        <v>37</v>
      </c>
    </row>
    <row r="60" spans="5:15" x14ac:dyDescent="0.25">
      <c r="E60">
        <v>50</v>
      </c>
      <c r="G60" t="s">
        <v>25</v>
      </c>
      <c r="J60" s="9">
        <v>46090</v>
      </c>
      <c r="K60" s="9">
        <v>46090</v>
      </c>
      <c r="L60" s="9"/>
      <c r="M60" s="9"/>
      <c r="N60" s="9"/>
      <c r="O60" t="s">
        <v>37</v>
      </c>
    </row>
  </sheetData>
  <mergeCells count="1">
    <mergeCell ref="A1:E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69E7-287C-43C0-9748-C941B3D33694}">
  <dimension ref="A1:P19"/>
  <sheetViews>
    <sheetView workbookViewId="0">
      <selection sqref="A1:D1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9.85546875" bestFit="1" customWidth="1"/>
    <col min="4" max="4" width="14.85546875" bestFit="1" customWidth="1"/>
    <col min="5" max="5" width="8.140625" bestFit="1" customWidth="1"/>
    <col min="6" max="6" width="8.42578125" bestFit="1" customWidth="1"/>
    <col min="7" max="7" width="9.5703125" bestFit="1" customWidth="1"/>
    <col min="8" max="8" width="14.7109375" bestFit="1" customWidth="1"/>
    <col min="9" max="9" width="16" bestFit="1" customWidth="1"/>
    <col min="10" max="10" width="12.7109375" bestFit="1" customWidth="1"/>
    <col min="11" max="11" width="13.85546875" bestFit="1" customWidth="1"/>
    <col min="12" max="12" width="20" bestFit="1" customWidth="1"/>
    <col min="13" max="13" width="26" bestFit="1" customWidth="1"/>
    <col min="14" max="14" width="30.7109375" bestFit="1" customWidth="1"/>
    <col min="15" max="15" width="11.7109375" bestFit="1" customWidth="1"/>
    <col min="16" max="16" width="13.42578125" bestFit="1" customWidth="1"/>
  </cols>
  <sheetData>
    <row r="1" spans="1:16" x14ac:dyDescent="0.25">
      <c r="A1" s="1" t="s">
        <v>101</v>
      </c>
      <c r="B1" s="1"/>
      <c r="C1" s="1"/>
      <c r="D1" s="1"/>
    </row>
    <row r="2" spans="1:16" x14ac:dyDescent="0.25">
      <c r="A2" s="8" t="s">
        <v>1</v>
      </c>
      <c r="B2" s="8" t="s">
        <v>98</v>
      </c>
      <c r="C2" s="8" t="s">
        <v>99</v>
      </c>
      <c r="D2" s="8" t="s">
        <v>100</v>
      </c>
    </row>
    <row r="3" spans="1:16" x14ac:dyDescent="0.25">
      <c r="A3">
        <v>1</v>
      </c>
      <c r="B3" t="s">
        <v>9</v>
      </c>
      <c r="C3">
        <v>2</v>
      </c>
      <c r="D3">
        <v>1</v>
      </c>
    </row>
    <row r="4" spans="1:16" x14ac:dyDescent="0.25">
      <c r="A4">
        <v>2</v>
      </c>
      <c r="B4" t="s">
        <v>7</v>
      </c>
      <c r="C4">
        <v>2</v>
      </c>
      <c r="D4">
        <v>1</v>
      </c>
    </row>
    <row r="5" spans="1:16" x14ac:dyDescent="0.25">
      <c r="A5">
        <v>3</v>
      </c>
      <c r="B5" t="s">
        <v>11</v>
      </c>
      <c r="C5">
        <v>2</v>
      </c>
      <c r="D5">
        <v>1</v>
      </c>
    </row>
    <row r="9" spans="1:16" x14ac:dyDescent="0.25">
      <c r="E9" s="1" t="s">
        <v>127</v>
      </c>
      <c r="F9" s="1"/>
      <c r="G9" s="1"/>
      <c r="H9" s="1"/>
      <c r="I9" s="1"/>
      <c r="J9" s="1"/>
      <c r="K9" s="1"/>
      <c r="L9" s="1"/>
    </row>
    <row r="10" spans="1:16" x14ac:dyDescent="0.25">
      <c r="E10" s="8" t="s">
        <v>15</v>
      </c>
      <c r="F10" s="8" t="s">
        <v>16</v>
      </c>
      <c r="G10" s="8" t="s">
        <v>17</v>
      </c>
      <c r="H10" s="8" t="s">
        <v>19</v>
      </c>
      <c r="I10" s="8" t="s">
        <v>20</v>
      </c>
      <c r="J10" s="8" t="s">
        <v>21</v>
      </c>
      <c r="K10" s="8" t="s">
        <v>22</v>
      </c>
      <c r="L10" s="8" t="s">
        <v>128</v>
      </c>
      <c r="M10" s="8" t="s">
        <v>129</v>
      </c>
      <c r="N10" s="8" t="s">
        <v>130</v>
      </c>
      <c r="O10" s="8" t="s">
        <v>131</v>
      </c>
      <c r="P10" s="8" t="s">
        <v>132</v>
      </c>
    </row>
    <row r="11" spans="1:16" x14ac:dyDescent="0.25">
      <c r="E11" t="s">
        <v>24</v>
      </c>
      <c r="F11" t="s">
        <v>102</v>
      </c>
      <c r="G11" t="s">
        <v>26</v>
      </c>
      <c r="H11" s="9" t="s">
        <v>103</v>
      </c>
      <c r="I11" s="9" t="s">
        <v>103</v>
      </c>
      <c r="J11" s="9" t="s">
        <v>103</v>
      </c>
      <c r="K11" s="9" t="s">
        <v>103</v>
      </c>
      <c r="L11" s="9">
        <v>46088</v>
      </c>
      <c r="O11" s="9">
        <f>L11+1</f>
        <v>46089</v>
      </c>
    </row>
    <row r="12" spans="1:16" x14ac:dyDescent="0.25">
      <c r="E12" t="s">
        <v>28</v>
      </c>
      <c r="F12" t="s">
        <v>102</v>
      </c>
      <c r="G12" t="s">
        <v>26</v>
      </c>
      <c r="H12" s="9" t="s">
        <v>103</v>
      </c>
      <c r="I12" s="9" t="s">
        <v>103</v>
      </c>
      <c r="J12" s="9" t="s">
        <v>103</v>
      </c>
      <c r="K12" s="9" t="s">
        <v>103</v>
      </c>
      <c r="L12" s="9">
        <v>46088</v>
      </c>
      <c r="O12" s="9">
        <f t="shared" ref="O12:O19" si="0">L12+1</f>
        <v>46089</v>
      </c>
    </row>
    <row r="13" spans="1:16" x14ac:dyDescent="0.25">
      <c r="E13" t="s">
        <v>29</v>
      </c>
      <c r="F13" t="s">
        <v>102</v>
      </c>
      <c r="G13" t="s">
        <v>26</v>
      </c>
      <c r="H13" s="9" t="s">
        <v>103</v>
      </c>
      <c r="I13" s="9" t="s">
        <v>103</v>
      </c>
      <c r="J13" s="9" t="s">
        <v>103</v>
      </c>
      <c r="K13" s="9" t="s">
        <v>103</v>
      </c>
      <c r="L13" s="9">
        <v>46088</v>
      </c>
      <c r="O13" s="9">
        <f t="shared" si="0"/>
        <v>46089</v>
      </c>
    </row>
    <row r="14" spans="1:16" x14ac:dyDescent="0.25">
      <c r="E14" t="s">
        <v>30</v>
      </c>
      <c r="F14" t="s">
        <v>102</v>
      </c>
      <c r="G14" t="s">
        <v>26</v>
      </c>
      <c r="H14" s="9" t="s">
        <v>103</v>
      </c>
      <c r="I14" s="9" t="s">
        <v>103</v>
      </c>
      <c r="J14" s="9" t="s">
        <v>103</v>
      </c>
      <c r="K14" s="9" t="s">
        <v>103</v>
      </c>
      <c r="L14" s="9">
        <v>46090</v>
      </c>
      <c r="O14" s="9">
        <f t="shared" si="0"/>
        <v>46091</v>
      </c>
    </row>
    <row r="15" spans="1:16" x14ac:dyDescent="0.25">
      <c r="E15" t="s">
        <v>31</v>
      </c>
      <c r="F15" t="s">
        <v>102</v>
      </c>
      <c r="G15" t="s">
        <v>26</v>
      </c>
      <c r="H15" s="9" t="s">
        <v>103</v>
      </c>
      <c r="I15" s="9" t="s">
        <v>103</v>
      </c>
      <c r="J15" s="9" t="s">
        <v>103</v>
      </c>
      <c r="K15" s="9" t="s">
        <v>103</v>
      </c>
      <c r="L15" s="9">
        <v>46090</v>
      </c>
      <c r="O15" s="9">
        <f t="shared" si="0"/>
        <v>46091</v>
      </c>
    </row>
    <row r="16" spans="1:16" x14ac:dyDescent="0.25">
      <c r="E16" t="s">
        <v>46</v>
      </c>
      <c r="F16" t="s">
        <v>102</v>
      </c>
      <c r="G16" t="s">
        <v>26</v>
      </c>
      <c r="H16" s="9" t="s">
        <v>103</v>
      </c>
      <c r="I16" s="9" t="s">
        <v>103</v>
      </c>
      <c r="J16" s="9" t="s">
        <v>103</v>
      </c>
      <c r="K16" s="9" t="s">
        <v>103</v>
      </c>
      <c r="L16" s="9">
        <v>46089</v>
      </c>
      <c r="O16" s="9">
        <f t="shared" si="0"/>
        <v>46090</v>
      </c>
    </row>
    <row r="17" spans="5:15" x14ac:dyDescent="0.25">
      <c r="E17" t="s">
        <v>47</v>
      </c>
      <c r="F17" t="s">
        <v>102</v>
      </c>
      <c r="G17" t="s">
        <v>26</v>
      </c>
      <c r="H17" s="9" t="s">
        <v>103</v>
      </c>
      <c r="I17" s="9" t="s">
        <v>103</v>
      </c>
      <c r="J17" s="9" t="s">
        <v>103</v>
      </c>
      <c r="K17" s="9" t="s">
        <v>103</v>
      </c>
      <c r="L17" s="9">
        <v>46089</v>
      </c>
      <c r="O17" s="9">
        <f t="shared" si="0"/>
        <v>46090</v>
      </c>
    </row>
    <row r="18" spans="5:15" x14ac:dyDescent="0.25">
      <c r="E18" t="s">
        <v>48</v>
      </c>
      <c r="F18" t="s">
        <v>102</v>
      </c>
      <c r="G18" t="s">
        <v>26</v>
      </c>
      <c r="H18" s="9" t="s">
        <v>103</v>
      </c>
      <c r="I18" s="9" t="s">
        <v>103</v>
      </c>
      <c r="J18" s="9" t="s">
        <v>103</v>
      </c>
      <c r="K18" s="9" t="s">
        <v>103</v>
      </c>
      <c r="L18" s="9">
        <v>46090</v>
      </c>
      <c r="O18" s="9">
        <f t="shared" si="0"/>
        <v>46091</v>
      </c>
    </row>
    <row r="19" spans="5:15" x14ac:dyDescent="0.25">
      <c r="E19" t="s">
        <v>51</v>
      </c>
      <c r="F19" t="s">
        <v>102</v>
      </c>
      <c r="G19" t="s">
        <v>26</v>
      </c>
      <c r="H19" s="9" t="s">
        <v>103</v>
      </c>
      <c r="I19" s="9" t="s">
        <v>103</v>
      </c>
      <c r="J19" s="9" t="s">
        <v>103</v>
      </c>
      <c r="K19" s="9" t="s">
        <v>103</v>
      </c>
      <c r="L19" s="9">
        <v>46086</v>
      </c>
      <c r="O19" s="9">
        <f t="shared" si="0"/>
        <v>46087</v>
      </c>
    </row>
  </sheetData>
  <mergeCells count="2">
    <mergeCell ref="A1:D1"/>
    <mergeCell ref="E9:L9"/>
  </mergeCells>
  <phoneticPr fontId="4" type="noConversion"/>
  <conditionalFormatting sqref="L11:P19">
    <cfRule type="timePeriod" dxfId="2" priority="1" timePeriod="lastWeek">
      <formula>AND(TODAY()-ROUNDDOWN(L11,0)&gt;=(WEEKDAY(TODAY())),TODAY()-ROUNDDOWN(L11,0)&lt;(WEEKDAY(TODAY())+7))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ECFB-4085-4A6B-A47C-DBCEA66B03FC}">
  <dimension ref="A1:AD22"/>
  <sheetViews>
    <sheetView topLeftCell="A3" workbookViewId="0">
      <selection activeCell="J5" sqref="J5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8.28515625" bestFit="1" customWidth="1"/>
    <col min="5" max="5" width="18.42578125" bestFit="1" customWidth="1"/>
    <col min="6" max="6" width="17.28515625" bestFit="1" customWidth="1"/>
    <col min="7" max="7" width="13.7109375" bestFit="1" customWidth="1"/>
    <col min="8" max="8" width="8.140625" bestFit="1" customWidth="1"/>
    <col min="9" max="9" width="9.7109375" bestFit="1" customWidth="1"/>
    <col min="10" max="10" width="15.28515625" bestFit="1" customWidth="1"/>
    <col min="11" max="11" width="14.7109375" bestFit="1" customWidth="1"/>
    <col min="12" max="12" width="16" bestFit="1" customWidth="1"/>
    <col min="13" max="13" width="12.7109375" bestFit="1" customWidth="1"/>
    <col min="14" max="14" width="13.85546875" bestFit="1" customWidth="1"/>
    <col min="15" max="15" width="9.42578125" bestFit="1" customWidth="1"/>
    <col min="16" max="16" width="11.140625" bestFit="1" customWidth="1"/>
    <col min="17" max="17" width="15.140625" bestFit="1" customWidth="1"/>
    <col min="18" max="18" width="13.85546875" bestFit="1" customWidth="1"/>
    <col min="19" max="19" width="13.28515625" bestFit="1" customWidth="1"/>
    <col min="20" max="20" width="17.140625" bestFit="1" customWidth="1"/>
    <col min="21" max="21" width="13.85546875" bestFit="1" customWidth="1"/>
    <col min="22" max="22" width="12.28515625" bestFit="1" customWidth="1"/>
    <col min="23" max="23" width="11.85546875" bestFit="1" customWidth="1"/>
    <col min="24" max="24" width="8.7109375" bestFit="1" customWidth="1"/>
    <col min="25" max="25" width="7.85546875" bestFit="1" customWidth="1"/>
    <col min="26" max="26" width="9.42578125" bestFit="1" customWidth="1"/>
    <col min="27" max="27" width="15.7109375" bestFit="1" customWidth="1"/>
    <col min="28" max="28" width="20" bestFit="1" customWidth="1"/>
    <col min="29" max="29" width="21.7109375" bestFit="1" customWidth="1"/>
    <col min="30" max="30" width="22.28515625" bestFit="1" customWidth="1"/>
  </cols>
  <sheetData>
    <row r="1" spans="1:30" x14ac:dyDescent="0.25">
      <c r="A1" s="1" t="s">
        <v>104</v>
      </c>
      <c r="B1" s="1"/>
      <c r="C1" s="1"/>
      <c r="D1" s="1"/>
    </row>
    <row r="2" spans="1:30" x14ac:dyDescent="0.25">
      <c r="A2" s="8" t="s">
        <v>1</v>
      </c>
      <c r="B2" s="8" t="s">
        <v>105</v>
      </c>
      <c r="C2" s="8" t="s">
        <v>106</v>
      </c>
      <c r="D2" s="8" t="s">
        <v>107</v>
      </c>
      <c r="E2" s="8" t="s">
        <v>108</v>
      </c>
      <c r="F2" s="8" t="s">
        <v>109</v>
      </c>
    </row>
    <row r="3" spans="1:30" x14ac:dyDescent="0.25">
      <c r="A3">
        <v>1</v>
      </c>
      <c r="B3" t="s">
        <v>7</v>
      </c>
      <c r="C3" t="s">
        <v>8</v>
      </c>
      <c r="D3">
        <v>3</v>
      </c>
      <c r="E3">
        <v>10</v>
      </c>
      <c r="F3">
        <v>2</v>
      </c>
    </row>
    <row r="4" spans="1:30" x14ac:dyDescent="0.25">
      <c r="A4">
        <v>2</v>
      </c>
      <c r="B4" t="s">
        <v>9</v>
      </c>
      <c r="D4">
        <v>5</v>
      </c>
      <c r="E4">
        <v>5</v>
      </c>
      <c r="F4">
        <v>1</v>
      </c>
    </row>
    <row r="5" spans="1:30" x14ac:dyDescent="0.25">
      <c r="A5">
        <v>3</v>
      </c>
      <c r="B5" t="s">
        <v>11</v>
      </c>
      <c r="D5">
        <v>2</v>
      </c>
      <c r="E5">
        <v>6</v>
      </c>
      <c r="F5">
        <v>1</v>
      </c>
    </row>
    <row r="7" spans="1:30" x14ac:dyDescent="0.25">
      <c r="J7" s="8" t="s">
        <v>126</v>
      </c>
    </row>
    <row r="9" spans="1:30" x14ac:dyDescent="0.25">
      <c r="F9" s="61" t="s">
        <v>14</v>
      </c>
      <c r="G9" s="62" t="s">
        <v>61</v>
      </c>
      <c r="H9" s="62" t="s">
        <v>15</v>
      </c>
      <c r="I9" s="62" t="s">
        <v>16</v>
      </c>
      <c r="J9" s="62" t="s">
        <v>17</v>
      </c>
      <c r="K9" s="62" t="s">
        <v>19</v>
      </c>
      <c r="L9" s="62" t="s">
        <v>20</v>
      </c>
      <c r="M9" s="62" t="s">
        <v>21</v>
      </c>
      <c r="N9" s="62" t="s">
        <v>22</v>
      </c>
      <c r="O9" s="63" t="s">
        <v>23</v>
      </c>
      <c r="P9" s="62" t="s">
        <v>111</v>
      </c>
      <c r="Q9" s="62" t="s">
        <v>112</v>
      </c>
      <c r="R9" s="62" t="s">
        <v>113</v>
      </c>
      <c r="S9" s="62" t="s">
        <v>114</v>
      </c>
      <c r="T9" s="62" t="s">
        <v>115</v>
      </c>
      <c r="U9" s="62" t="s">
        <v>116</v>
      </c>
      <c r="V9" s="62" t="s">
        <v>117</v>
      </c>
      <c r="W9" s="62" t="s">
        <v>118</v>
      </c>
      <c r="X9" s="62" t="s">
        <v>119</v>
      </c>
      <c r="Y9" s="62" t="s">
        <v>120</v>
      </c>
      <c r="Z9" s="62" t="s">
        <v>121</v>
      </c>
      <c r="AA9" s="62" t="s">
        <v>122</v>
      </c>
      <c r="AB9" s="62" t="s">
        <v>123</v>
      </c>
      <c r="AC9" s="62" t="s">
        <v>124</v>
      </c>
      <c r="AD9" s="62" t="s">
        <v>125</v>
      </c>
    </row>
    <row r="10" spans="1:30" x14ac:dyDescent="0.25">
      <c r="F10">
        <v>60</v>
      </c>
      <c r="G10" t="s">
        <v>7</v>
      </c>
      <c r="I10" t="s">
        <v>110</v>
      </c>
      <c r="J10" t="s">
        <v>26</v>
      </c>
      <c r="K10" s="9">
        <v>46086</v>
      </c>
      <c r="L10" s="9">
        <v>46095</v>
      </c>
      <c r="O10" t="s">
        <v>37</v>
      </c>
      <c r="S10" s="9"/>
    </row>
    <row r="11" spans="1:30" x14ac:dyDescent="0.25">
      <c r="F11">
        <v>61</v>
      </c>
      <c r="G11" t="s">
        <v>7</v>
      </c>
      <c r="I11" t="s">
        <v>110</v>
      </c>
      <c r="J11" t="s">
        <v>26</v>
      </c>
      <c r="K11" s="9">
        <v>46086</v>
      </c>
      <c r="L11" s="9">
        <v>46095</v>
      </c>
      <c r="O11" t="s">
        <v>37</v>
      </c>
      <c r="S11" s="9"/>
    </row>
    <row r="12" spans="1:30" x14ac:dyDescent="0.25">
      <c r="F12">
        <v>62</v>
      </c>
      <c r="G12" t="s">
        <v>7</v>
      </c>
      <c r="I12" t="s">
        <v>110</v>
      </c>
      <c r="J12" t="s">
        <v>26</v>
      </c>
      <c r="K12" s="9">
        <v>46086</v>
      </c>
      <c r="L12" s="9">
        <v>46095</v>
      </c>
      <c r="O12" t="s">
        <v>37</v>
      </c>
    </row>
    <row r="13" spans="1:30" x14ac:dyDescent="0.25">
      <c r="F13">
        <v>63</v>
      </c>
      <c r="G13" t="s">
        <v>7</v>
      </c>
      <c r="I13" t="s">
        <v>110</v>
      </c>
      <c r="J13" t="s">
        <v>26</v>
      </c>
      <c r="K13" s="9">
        <v>46087</v>
      </c>
      <c r="L13" s="9">
        <v>46096</v>
      </c>
      <c r="O13" t="s">
        <v>37</v>
      </c>
    </row>
    <row r="14" spans="1:30" x14ac:dyDescent="0.25">
      <c r="F14">
        <v>64</v>
      </c>
      <c r="G14" t="s">
        <v>7</v>
      </c>
      <c r="I14" t="s">
        <v>110</v>
      </c>
      <c r="J14" t="s">
        <v>26</v>
      </c>
      <c r="K14" s="9">
        <v>46087</v>
      </c>
      <c r="L14" s="9">
        <v>46096</v>
      </c>
      <c r="O14" t="s">
        <v>37</v>
      </c>
    </row>
    <row r="15" spans="1:30" x14ac:dyDescent="0.25">
      <c r="F15">
        <v>65</v>
      </c>
      <c r="G15" t="s">
        <v>7</v>
      </c>
      <c r="I15" t="s">
        <v>110</v>
      </c>
      <c r="J15" t="s">
        <v>26</v>
      </c>
      <c r="K15" s="9">
        <v>46087</v>
      </c>
      <c r="L15" s="9">
        <v>46096</v>
      </c>
      <c r="O15" t="s">
        <v>37</v>
      </c>
    </row>
    <row r="16" spans="1:30" x14ac:dyDescent="0.25">
      <c r="F16">
        <v>66</v>
      </c>
      <c r="G16" t="s">
        <v>9</v>
      </c>
      <c r="I16" t="s">
        <v>110</v>
      </c>
      <c r="J16" t="s">
        <v>26</v>
      </c>
      <c r="K16" s="9">
        <v>46086</v>
      </c>
      <c r="L16" s="9">
        <v>46090</v>
      </c>
      <c r="O16" t="s">
        <v>37</v>
      </c>
    </row>
    <row r="17" spans="6:15" x14ac:dyDescent="0.25">
      <c r="F17">
        <v>67</v>
      </c>
      <c r="G17" t="s">
        <v>9</v>
      </c>
      <c r="I17" t="s">
        <v>110</v>
      </c>
      <c r="J17" t="s">
        <v>26</v>
      </c>
      <c r="K17" s="9">
        <v>46086</v>
      </c>
      <c r="L17" s="9">
        <v>46090</v>
      </c>
      <c r="O17" t="s">
        <v>37</v>
      </c>
    </row>
    <row r="18" spans="6:15" x14ac:dyDescent="0.25">
      <c r="F18">
        <v>68</v>
      </c>
      <c r="G18" t="s">
        <v>9</v>
      </c>
      <c r="I18" t="s">
        <v>110</v>
      </c>
      <c r="J18" t="s">
        <v>26</v>
      </c>
      <c r="K18" s="9">
        <v>46086</v>
      </c>
      <c r="L18" s="9">
        <v>46090</v>
      </c>
      <c r="O18" t="s">
        <v>37</v>
      </c>
    </row>
    <row r="19" spans="6:15" x14ac:dyDescent="0.25">
      <c r="F19">
        <v>69</v>
      </c>
      <c r="G19" t="s">
        <v>9</v>
      </c>
      <c r="I19" t="s">
        <v>110</v>
      </c>
      <c r="J19" t="s">
        <v>26</v>
      </c>
      <c r="K19" s="9">
        <v>46086</v>
      </c>
      <c r="L19" s="9">
        <v>46090</v>
      </c>
      <c r="O19" t="s">
        <v>37</v>
      </c>
    </row>
    <row r="20" spans="6:15" x14ac:dyDescent="0.25">
      <c r="F20">
        <v>70</v>
      </c>
      <c r="G20" t="s">
        <v>9</v>
      </c>
      <c r="I20" t="s">
        <v>110</v>
      </c>
      <c r="J20" t="s">
        <v>26</v>
      </c>
      <c r="K20" s="9">
        <v>46086</v>
      </c>
      <c r="L20" s="9">
        <v>46090</v>
      </c>
      <c r="O20" t="s">
        <v>37</v>
      </c>
    </row>
    <row r="21" spans="6:15" x14ac:dyDescent="0.25">
      <c r="F21">
        <v>71</v>
      </c>
      <c r="G21" t="s">
        <v>11</v>
      </c>
      <c r="I21" t="s">
        <v>110</v>
      </c>
      <c r="J21" t="s">
        <v>26</v>
      </c>
      <c r="K21" s="9">
        <v>46086</v>
      </c>
      <c r="L21" s="9">
        <v>46091</v>
      </c>
      <c r="O21" t="s">
        <v>37</v>
      </c>
    </row>
    <row r="22" spans="6:15" x14ac:dyDescent="0.25">
      <c r="F22">
        <v>72</v>
      </c>
      <c r="G22" t="s">
        <v>11</v>
      </c>
      <c r="I22" t="s">
        <v>110</v>
      </c>
      <c r="J22" t="s">
        <v>26</v>
      </c>
      <c r="K22" s="9">
        <v>46086</v>
      </c>
      <c r="L22" s="9">
        <v>46091</v>
      </c>
      <c r="O22" t="s">
        <v>37</v>
      </c>
    </row>
  </sheetData>
  <mergeCells count="1">
    <mergeCell ref="A1:D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2210-3B6E-4360-B141-529EC65E162C}">
  <dimension ref="B2"/>
  <sheetViews>
    <sheetView workbookViewId="0">
      <selection activeCell="G8" sqref="G8"/>
    </sheetView>
  </sheetViews>
  <sheetFormatPr defaultRowHeight="15" x14ac:dyDescent="0.25"/>
  <cols>
    <col min="2" max="2" width="22.5703125" bestFit="1" customWidth="1"/>
  </cols>
  <sheetData>
    <row r="2" spans="2:2" x14ac:dyDescent="0.25">
      <c r="B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 Plan</vt:lpstr>
      <vt:lpstr>Plant Allocation</vt:lpstr>
      <vt:lpstr>Allocation Acceptance</vt:lpstr>
      <vt:lpstr>Production</vt:lpstr>
      <vt:lpstr>Quality</vt:lpstr>
      <vt:lpstr>Dispatch</vt:lpstr>
      <vt:lpstr>Receiving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Arikarasudhan G</dc:creator>
  <cp:lastModifiedBy>Arikarasudhan G</cp:lastModifiedBy>
  <dcterms:created xsi:type="dcterms:W3CDTF">2026-08-27T06:21:03Z</dcterms:created>
  <dcterms:modified xsi:type="dcterms:W3CDTF">2026-08-27T06:35:25Z</dcterms:modified>
</cp:coreProperties>
</file>